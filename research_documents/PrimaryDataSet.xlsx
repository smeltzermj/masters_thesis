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ichael\Desktop\Thesis Work.scriv\Thesis Work\"/>
    </mc:Choice>
  </mc:AlternateContent>
  <bookViews>
    <workbookView xWindow="0" yWindow="0" windowWidth="23040" windowHeight="8832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3" i="1" l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2" i="1"/>
  <c r="I14" i="1" l="1"/>
  <c r="I80" i="1"/>
  <c r="H3" i="1"/>
  <c r="H4" i="1"/>
  <c r="H5" i="1"/>
  <c r="H6" i="1"/>
  <c r="H7" i="1"/>
  <c r="H8" i="1"/>
  <c r="H9" i="1"/>
  <c r="H10" i="1"/>
  <c r="H11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1" i="1"/>
  <c r="H32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9" i="1"/>
  <c r="H60" i="1"/>
  <c r="H61" i="1"/>
  <c r="H62" i="1"/>
  <c r="H64" i="1"/>
  <c r="H66" i="1"/>
  <c r="H67" i="1"/>
  <c r="H68" i="1"/>
  <c r="H69" i="1"/>
  <c r="H70" i="1"/>
  <c r="H71" i="1"/>
  <c r="H72" i="1"/>
  <c r="H74" i="1"/>
  <c r="H75" i="1"/>
  <c r="H76" i="1"/>
  <c r="H77" i="1"/>
  <c r="H78" i="1"/>
  <c r="H79" i="1"/>
  <c r="H80" i="1"/>
  <c r="H81" i="1"/>
  <c r="H2" i="1"/>
  <c r="W3" i="1" l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2" i="1"/>
</calcChain>
</file>

<file path=xl/sharedStrings.xml><?xml version="1.0" encoding="utf-8"?>
<sst xmlns="http://schemas.openxmlformats.org/spreadsheetml/2006/main" count="424" uniqueCount="418">
  <si>
    <t>Region ID</t>
  </si>
  <si>
    <t>Region Name</t>
  </si>
  <si>
    <t>Change in Equalization Transfers 2012-2013</t>
  </si>
  <si>
    <t>Equalization Transfers 2013</t>
  </si>
  <si>
    <t>Index of Tax Potential 2012</t>
  </si>
  <si>
    <t>GRP per Capita 2012</t>
  </si>
  <si>
    <t>Index of Budget Expenditures 2012</t>
  </si>
  <si>
    <t>Республика Адыгея (Адыгея)</t>
  </si>
  <si>
    <t>Республика Алтай</t>
  </si>
  <si>
    <t>Республика Башкортостан</t>
  </si>
  <si>
    <t>Республика Бурятия</t>
  </si>
  <si>
    <t>Республика Дагестан</t>
  </si>
  <si>
    <t>Республика Ингушетия</t>
  </si>
  <si>
    <t>Кабардино-Балкарская Республика</t>
  </si>
  <si>
    <t>Республика Калмыкия</t>
  </si>
  <si>
    <t>Карачаево-Черкесская Республика</t>
  </si>
  <si>
    <t>Республика Карелия</t>
  </si>
  <si>
    <t>Республика Коми</t>
  </si>
  <si>
    <t>Республика Марий Эл</t>
  </si>
  <si>
    <t>Республика Мордовия</t>
  </si>
  <si>
    <t>Республика Саха (Якутия)</t>
  </si>
  <si>
    <t>Республика Северная Осетия - Алания</t>
  </si>
  <si>
    <t>Республика Татарстан (Татарстан)</t>
  </si>
  <si>
    <t>Республика Тыва</t>
  </si>
  <si>
    <t>Удмуртская Республика</t>
  </si>
  <si>
    <t>Республика Хакасия</t>
  </si>
  <si>
    <t>Чеченская Республика</t>
  </si>
  <si>
    <t>Чувашская Республика - Чувашия</t>
  </si>
  <si>
    <t>Алтайский край</t>
  </si>
  <si>
    <t>Забайкальский край</t>
  </si>
  <si>
    <t>Камчатский край</t>
  </si>
  <si>
    <t>Краснодарский край</t>
  </si>
  <si>
    <t>Красноярский край</t>
  </si>
  <si>
    <t>Пермский край</t>
  </si>
  <si>
    <t>Приморский край</t>
  </si>
  <si>
    <t>Ставропольский край</t>
  </si>
  <si>
    <t>Хабаровский край</t>
  </si>
  <si>
    <t>Амурская область</t>
  </si>
  <si>
    <t>Архангельская область</t>
  </si>
  <si>
    <t>Астраханская область</t>
  </si>
  <si>
    <t>Белгородская область</t>
  </si>
  <si>
    <t>Брянская область</t>
  </si>
  <si>
    <t>Владимирская область</t>
  </si>
  <si>
    <t>Волгоградская область</t>
  </si>
  <si>
    <t>Вологодская область</t>
  </si>
  <si>
    <t>Воронежская область</t>
  </si>
  <si>
    <t>Ивановская область</t>
  </si>
  <si>
    <t>Иркутская область</t>
  </si>
  <si>
    <t>Калининградская область</t>
  </si>
  <si>
    <t>Калужская область</t>
  </si>
  <si>
    <t>Кемеровская область</t>
  </si>
  <si>
    <t>Кировская область</t>
  </si>
  <si>
    <t>Костромская область</t>
  </si>
  <si>
    <t>Курганская область</t>
  </si>
  <si>
    <t>Курская область</t>
  </si>
  <si>
    <t>Ленинградская область</t>
  </si>
  <si>
    <t>Липецкая область</t>
  </si>
  <si>
    <t>Магаданская область</t>
  </si>
  <si>
    <t>Московская область</t>
  </si>
  <si>
    <t>Мурманская область</t>
  </si>
  <si>
    <t>Нижегородская область</t>
  </si>
  <si>
    <t>Новгородская область</t>
  </si>
  <si>
    <t>Новосибирская область</t>
  </si>
  <si>
    <t>Омская область</t>
  </si>
  <si>
    <t>Оренбургская область</t>
  </si>
  <si>
    <t>Орловская область</t>
  </si>
  <si>
    <t>Пензенская область</t>
  </si>
  <si>
    <t>Псковская область</t>
  </si>
  <si>
    <t>Ростовская область</t>
  </si>
  <si>
    <t>Рязанская область</t>
  </si>
  <si>
    <t>Самарская область</t>
  </si>
  <si>
    <t>Саратовская область</t>
  </si>
  <si>
    <t>Сахалинская область</t>
  </si>
  <si>
    <t>Свердловская область</t>
  </si>
  <si>
    <t>Смоленская область</t>
  </si>
  <si>
    <t>Тамбовская область</t>
  </si>
  <si>
    <t>Тверская область</t>
  </si>
  <si>
    <t>Томская область</t>
  </si>
  <si>
    <t>Тульская область</t>
  </si>
  <si>
    <t>Тюменская область</t>
  </si>
  <si>
    <t>Ульяновская область</t>
  </si>
  <si>
    <t>Челябинская область</t>
  </si>
  <si>
    <t>Ярославская область</t>
  </si>
  <si>
    <t>Город Москва</t>
  </si>
  <si>
    <t>Город Санкт-Петербург</t>
  </si>
  <si>
    <t>Еврейская автономная область</t>
  </si>
  <si>
    <t>Чукотский автономный округ</t>
  </si>
  <si>
    <t>Votes for Putin 2012</t>
  </si>
  <si>
    <t>%Vote for Putin</t>
  </si>
  <si>
    <t>Votes for second place Candidate</t>
  </si>
  <si>
    <t>%Vote for second place candidate</t>
  </si>
  <si>
    <t>868736</t>
  </si>
  <si>
    <t>20.45%</t>
  </si>
  <si>
    <t>370799</t>
  </si>
  <si>
    <t>15.52%</t>
  </si>
  <si>
    <t>Margin of Victory (Difference between vote Share for Putin and Runner-Up)</t>
  </si>
  <si>
    <t>Putin Visit 2012</t>
  </si>
  <si>
    <t>Putin Working Meeting 2012</t>
  </si>
  <si>
    <t>GRP 2012 (in millions of rubles)</t>
  </si>
  <si>
    <t>Povert Numbers</t>
  </si>
  <si>
    <t>Population</t>
  </si>
  <si>
    <t>State and Local Govt Employees</t>
  </si>
  <si>
    <t>%Pop in Government Employment</t>
  </si>
  <si>
    <t>Equalization Transfers 2012</t>
  </si>
  <si>
    <t>%Change in Equalization Transfers 2012-2013</t>
  </si>
  <si>
    <t>674139</t>
  </si>
  <si>
    <t>57.35%</t>
  </si>
  <si>
    <t>261665</t>
  </si>
  <si>
    <t>22.26%</t>
  </si>
  <si>
    <t>251182</t>
  </si>
  <si>
    <t>62.84%</t>
  </si>
  <si>
    <t>67433</t>
  </si>
  <si>
    <t>16.87%</t>
  </si>
  <si>
    <t>333344</t>
  </si>
  <si>
    <t>57.97%</t>
  </si>
  <si>
    <t>91648</t>
  </si>
  <si>
    <t>15.94%</t>
  </si>
  <si>
    <t>297448</t>
  </si>
  <si>
    <t>68.76%</t>
  </si>
  <si>
    <t>67662</t>
  </si>
  <si>
    <t>15.64%</t>
  </si>
  <si>
    <t>533716</t>
  </si>
  <si>
    <t>59.30%</t>
  </si>
  <si>
    <t>211079</t>
  </si>
  <si>
    <t>23.45%</t>
  </si>
  <si>
    <t>448018</t>
  </si>
  <si>
    <t>64.02%</t>
  </si>
  <si>
    <t>146340</t>
  </si>
  <si>
    <t>20.91%</t>
  </si>
  <si>
    <t>341301</t>
  </si>
  <si>
    <t>53.49%</t>
  </si>
  <si>
    <t>132400</t>
  </si>
  <si>
    <t>20.75%</t>
  </si>
  <si>
    <t>810598</t>
  </si>
  <si>
    <t>63.41%</t>
  </si>
  <si>
    <t>240998</t>
  </si>
  <si>
    <t>18.85%</t>
  </si>
  <si>
    <t>361720</t>
  </si>
  <si>
    <t>59.44%</t>
  </si>
  <si>
    <t>93417</t>
  </si>
  <si>
    <t>15.35%</t>
  </si>
  <si>
    <t>800024</t>
  </si>
  <si>
    <t>61.34%</t>
  </si>
  <si>
    <t>292379</t>
  </si>
  <si>
    <t>22.42%</t>
  </si>
  <si>
    <t>1994310</t>
  </si>
  <si>
    <t>46.95%</t>
  </si>
  <si>
    <t>1403753</t>
  </si>
  <si>
    <t>58.77%</t>
  </si>
  <si>
    <t>48912</t>
  </si>
  <si>
    <t>61.59%</t>
  </si>
  <si>
    <t>14796</t>
  </si>
  <si>
    <t>18.63%</t>
  </si>
  <si>
    <t>327407</t>
  </si>
  <si>
    <t>65.69%</t>
  </si>
  <si>
    <t>71636</t>
  </si>
  <si>
    <t>14.37%</t>
  </si>
  <si>
    <t>321170</t>
  </si>
  <si>
    <t>61.85%</t>
  </si>
  <si>
    <t>95005</t>
  </si>
  <si>
    <t>18.30%</t>
  </si>
  <si>
    <t>594861</t>
  </si>
  <si>
    <t>55.45%</t>
  </si>
  <si>
    <t>242097</t>
  </si>
  <si>
    <t>22.57%</t>
  </si>
  <si>
    <t>299529</t>
  </si>
  <si>
    <t>77.64%</t>
  </si>
  <si>
    <t>53261</t>
  </si>
  <si>
    <t>13.81%</t>
  </si>
  <si>
    <t>240421</t>
  </si>
  <si>
    <t>52.55%</t>
  </si>
  <si>
    <t>97570</t>
  </si>
  <si>
    <t>21.33%</t>
  </si>
  <si>
    <t>299175</t>
  </si>
  <si>
    <t>59.02%</t>
  </si>
  <si>
    <t>101459</t>
  </si>
  <si>
    <t>20.01%</t>
  </si>
  <si>
    <t>93738</t>
  </si>
  <si>
    <t>59.84%</t>
  </si>
  <si>
    <t>25009</t>
  </si>
  <si>
    <t>15.97%</t>
  </si>
  <si>
    <t>266410</t>
  </si>
  <si>
    <t>91.36%</t>
  </si>
  <si>
    <t>16937</t>
  </si>
  <si>
    <t>5.81%</t>
  </si>
  <si>
    <t>1267837</t>
  </si>
  <si>
    <t>77.19%</t>
  </si>
  <si>
    <t>133705</t>
  </si>
  <si>
    <t>8.14%</t>
  </si>
  <si>
    <t>399810</t>
  </si>
  <si>
    <t>57.93%</t>
  </si>
  <si>
    <t>127982</t>
  </si>
  <si>
    <t>18.54%</t>
  </si>
  <si>
    <t>183984</t>
  </si>
  <si>
    <t>52.78%</t>
  </si>
  <si>
    <t>90714</t>
  </si>
  <si>
    <t>26.02%</t>
  </si>
  <si>
    <t>1715349</t>
  </si>
  <si>
    <t>63.72%</t>
  </si>
  <si>
    <t>496909</t>
  </si>
  <si>
    <t>18.46%</t>
  </si>
  <si>
    <t>784337</t>
  </si>
  <si>
    <t>60.16%</t>
  </si>
  <si>
    <t>235058</t>
  </si>
  <si>
    <t>18.03%</t>
  </si>
  <si>
    <t>305777</t>
  </si>
  <si>
    <t>63.39%</t>
  </si>
  <si>
    <t>83955</t>
  </si>
  <si>
    <t>17.40%</t>
  </si>
  <si>
    <t>366745</t>
  </si>
  <si>
    <t>60.45%</t>
  </si>
  <si>
    <t>122775</t>
  </si>
  <si>
    <t>20.24%</t>
  </si>
  <si>
    <t>501893</t>
  </si>
  <si>
    <t>61.90%</t>
  </si>
  <si>
    <t>114951</t>
  </si>
  <si>
    <t>14.18%</t>
  </si>
  <si>
    <t>382179</t>
  </si>
  <si>
    <t>60.99%</t>
  </si>
  <si>
    <t>132408</t>
  </si>
  <si>
    <t>21.13%</t>
  </si>
  <si>
    <t>39196</t>
  </si>
  <si>
    <t>56.25%</t>
  </si>
  <si>
    <t>13946</t>
  </si>
  <si>
    <t>2015379</t>
  </si>
  <si>
    <t>56.85%</t>
  </si>
  <si>
    <t>686449</t>
  </si>
  <si>
    <t>19.36%</t>
  </si>
  <si>
    <t>244579</t>
  </si>
  <si>
    <t>60.05%</t>
  </si>
  <si>
    <t>65190</t>
  </si>
  <si>
    <t>16.00%</t>
  </si>
  <si>
    <t>1187194</t>
  </si>
  <si>
    <t>63.90%</t>
  </si>
  <si>
    <t>353964</t>
  </si>
  <si>
    <t>19.05%</t>
  </si>
  <si>
    <t>179501</t>
  </si>
  <si>
    <t>57.91%</t>
  </si>
  <si>
    <t>54875</t>
  </si>
  <si>
    <t>17.70%</t>
  </si>
  <si>
    <t>762126</t>
  </si>
  <si>
    <t>56.34%</t>
  </si>
  <si>
    <t>304761</t>
  </si>
  <si>
    <t>22.53%</t>
  </si>
  <si>
    <t>541469</t>
  </si>
  <si>
    <t>55.55%</t>
  </si>
  <si>
    <t>234035</t>
  </si>
  <si>
    <t>24.01%</t>
  </si>
  <si>
    <t>577411</t>
  </si>
  <si>
    <t>56.89%</t>
  </si>
  <si>
    <t>252947</t>
  </si>
  <si>
    <t>24.92%</t>
  </si>
  <si>
    <t>237868</t>
  </si>
  <si>
    <t>52.84%</t>
  </si>
  <si>
    <t>130934</t>
  </si>
  <si>
    <t>29.09%</t>
  </si>
  <si>
    <t>492031</t>
  </si>
  <si>
    <t>64.27%</t>
  </si>
  <si>
    <t>150786</t>
  </si>
  <si>
    <t>19.70%</t>
  </si>
  <si>
    <t>736496</t>
  </si>
  <si>
    <t>62.94%</t>
  </si>
  <si>
    <t>184639</t>
  </si>
  <si>
    <t>15.78%</t>
  </si>
  <si>
    <t>567177</t>
  </si>
  <si>
    <t>57.31%</t>
  </si>
  <si>
    <t>201493</t>
  </si>
  <si>
    <t>20.36%</t>
  </si>
  <si>
    <t>211265</t>
  </si>
  <si>
    <t>59.69%</t>
  </si>
  <si>
    <t>73073</t>
  </si>
  <si>
    <t>20.64%</t>
  </si>
  <si>
    <t>141257</t>
  </si>
  <si>
    <t>64.07%</t>
  </si>
  <si>
    <t>45311</t>
  </si>
  <si>
    <t>20.55%</t>
  </si>
  <si>
    <t>68110</t>
  </si>
  <si>
    <t>66.87%</t>
  </si>
  <si>
    <t>17229</t>
  </si>
  <si>
    <t>16.92%</t>
  </si>
  <si>
    <t>1731716</t>
  </si>
  <si>
    <t>75.28%</t>
  </si>
  <si>
    <t>326250</t>
  </si>
  <si>
    <t>275466</t>
  </si>
  <si>
    <t>66.20%</t>
  </si>
  <si>
    <t>75082</t>
  </si>
  <si>
    <t>18.04%</t>
  </si>
  <si>
    <t>1322567</t>
  </si>
  <si>
    <t>92.84%</t>
  </si>
  <si>
    <t>84669</t>
  </si>
  <si>
    <t>5.94%</t>
  </si>
  <si>
    <t>153274</t>
  </si>
  <si>
    <t>91.91%</t>
  </si>
  <si>
    <t>7422</t>
  </si>
  <si>
    <t>4.45%</t>
  </si>
  <si>
    <t>93500</t>
  </si>
  <si>
    <t>70.30%</t>
  </si>
  <si>
    <t>23295</t>
  </si>
  <si>
    <t>17.51%</t>
  </si>
  <si>
    <t>171380</t>
  </si>
  <si>
    <t>55.38%</t>
  </si>
  <si>
    <t>50957</t>
  </si>
  <si>
    <t>16.47%</t>
  </si>
  <si>
    <t>341864</t>
  </si>
  <si>
    <t>65.02%</t>
  </si>
  <si>
    <t>70135</t>
  </si>
  <si>
    <t>13.34%</t>
  </si>
  <si>
    <t>228612</t>
  </si>
  <si>
    <t>59.98%</t>
  </si>
  <si>
    <t>84200</t>
  </si>
  <si>
    <t>22.09%</t>
  </si>
  <si>
    <t>506415</t>
  </si>
  <si>
    <t>87.06%</t>
  </si>
  <si>
    <t>42060</t>
  </si>
  <si>
    <t>7.23%</t>
  </si>
  <si>
    <t>317933</t>
  </si>
  <si>
    <t>69.46%</t>
  </si>
  <si>
    <t>65871</t>
  </si>
  <si>
    <t>14.39%</t>
  </si>
  <si>
    <t>289643</t>
  </si>
  <si>
    <t>70.06%</t>
  </si>
  <si>
    <t>87017</t>
  </si>
  <si>
    <t>21.05%</t>
  </si>
  <si>
    <t>1967291</t>
  </si>
  <si>
    <t>82.70%</t>
  </si>
  <si>
    <t>229711</t>
  </si>
  <si>
    <t>9.66%</t>
  </si>
  <si>
    <t>132828</t>
  </si>
  <si>
    <t>90.00%</t>
  </si>
  <si>
    <t>6370</t>
  </si>
  <si>
    <t>4.32%</t>
  </si>
  <si>
    <t>144519</t>
  </si>
  <si>
    <t>58.40%</t>
  </si>
  <si>
    <t>50872</t>
  </si>
  <si>
    <t>20.56%</t>
  </si>
  <si>
    <t>1324042</t>
  </si>
  <si>
    <t>62.66%</t>
  </si>
  <si>
    <t>423884</t>
  </si>
  <si>
    <t>20.06%</t>
  </si>
  <si>
    <t>370945</t>
  </si>
  <si>
    <t>59.74%</t>
  </si>
  <si>
    <t>132981</t>
  </si>
  <si>
    <t>21.42%</t>
  </si>
  <si>
    <t>912099</t>
  </si>
  <si>
    <t>58.56%</t>
  </si>
  <si>
    <t>320128</t>
  </si>
  <si>
    <t>934685</t>
  </si>
  <si>
    <t>70.64%</t>
  </si>
  <si>
    <t>206818</t>
  </si>
  <si>
    <t>15.63%</t>
  </si>
  <si>
    <t>128565</t>
  </si>
  <si>
    <t>56.30%</t>
  </si>
  <si>
    <t>45730</t>
  </si>
  <si>
    <t>20.03%</t>
  </si>
  <si>
    <t>1337781</t>
  </si>
  <si>
    <t>64.50%</t>
  </si>
  <si>
    <t>251690</t>
  </si>
  <si>
    <t>12.14%</t>
  </si>
  <si>
    <t>273232</t>
  </si>
  <si>
    <t>56.69%</t>
  </si>
  <si>
    <t>111182</t>
  </si>
  <si>
    <t>23.07%</t>
  </si>
  <si>
    <t>770874</t>
  </si>
  <si>
    <t>64.47%</t>
  </si>
  <si>
    <t>215600</t>
  </si>
  <si>
    <t>444978</t>
  </si>
  <si>
    <t>71.76%</t>
  </si>
  <si>
    <t>107797</t>
  </si>
  <si>
    <t>17.38%</t>
  </si>
  <si>
    <t>387308</t>
  </si>
  <si>
    <t>58.02%</t>
  </si>
  <si>
    <t>131591</t>
  </si>
  <si>
    <t>19.71%</t>
  </si>
  <si>
    <t>261581</t>
  </si>
  <si>
    <t>57.07%</t>
  </si>
  <si>
    <t>86403</t>
  </si>
  <si>
    <t>587952</t>
  </si>
  <si>
    <t>67.77%</t>
  </si>
  <si>
    <t>147019</t>
  </si>
  <si>
    <t>16.95%</t>
  </si>
  <si>
    <t>611281</t>
  </si>
  <si>
    <t>73.10%</t>
  </si>
  <si>
    <t>95398</t>
  </si>
  <si>
    <t>11.41%</t>
  </si>
  <si>
    <t>515755</t>
  </si>
  <si>
    <t>65.75%</t>
  </si>
  <si>
    <t>116277</t>
  </si>
  <si>
    <t>14.82%</t>
  </si>
  <si>
    <t>387540</t>
  </si>
  <si>
    <t>58.18%</t>
  </si>
  <si>
    <t>160089</t>
  </si>
  <si>
    <t>24.03%</t>
  </si>
  <si>
    <t>367239</t>
  </si>
  <si>
    <t>56.15%</t>
  </si>
  <si>
    <t>115436</t>
  </si>
  <si>
    <t>17.65%</t>
  </si>
  <si>
    <t>1124538</t>
  </si>
  <si>
    <t>254542</t>
  </si>
  <si>
    <t>14.72%</t>
  </si>
  <si>
    <t>611578</t>
  </si>
  <si>
    <t>99.76%</t>
  </si>
  <si>
    <t>182</t>
  </si>
  <si>
    <t>0.03%</t>
  </si>
  <si>
    <t>438070</t>
  </si>
  <si>
    <t>62.32%</t>
  </si>
  <si>
    <t>144676</t>
  </si>
  <si>
    <t>20.58%</t>
  </si>
  <si>
    <t>21310</t>
  </si>
  <si>
    <t>72.64%</t>
  </si>
  <si>
    <t>2651</t>
  </si>
  <si>
    <t>9.04%</t>
  </si>
  <si>
    <t>365892</t>
  </si>
  <si>
    <t>54.53%</t>
  </si>
  <si>
    <t>133476</t>
  </si>
  <si>
    <t>19.89%</t>
  </si>
  <si>
    <t>GRP Growth 2011-2012</t>
  </si>
  <si>
    <t>Either meeting or Visit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</si>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</sst>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0"/>
      <name val="Arial Cyr"/>
      <charset val="204"/>
    </font>
    <font>
      <sz val="7.5"/>
      <color theme="1"/>
      <name val="Arial CY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10" fontId="0" fillId="0" borderId="0" xfId="0" applyNumberFormat="1"/>
    <xf numFmtId="0" fontId="0" fillId="0" borderId="0" xfId="0" applyFill="1"/>
    <xf numFmtId="10" fontId="0" fillId="0" borderId="0" xfId="0" applyNumberFormat="1" applyFill="1"/>
    <xf numFmtId="0" fontId="0" fillId="0" borderId="0" xfId="0" applyFont="1" applyAlignment="1">
      <alignment horizontal="right" vertical="center" wrapText="1"/>
    </xf>
    <xf numFmtId="0" fontId="0" fillId="0" borderId="0" xfId="0" applyFont="1"/>
    <xf numFmtId="0" fontId="0" fillId="0" borderId="3" xfId="0" applyFont="1" applyBorder="1" applyAlignment="1">
      <alignment horizontal="right" vertical="center" wrapText="1"/>
    </xf>
    <xf numFmtId="0" fontId="0" fillId="0" borderId="0" xfId="0" applyFont="1" applyBorder="1" applyAlignment="1">
      <alignment horizontal="right" vertical="center" wrapText="1"/>
    </xf>
    <xf numFmtId="0" fontId="0" fillId="0" borderId="0" xfId="0"/>
    <xf numFmtId="0" fontId="2" fillId="0" borderId="0" xfId="0" applyFont="1" applyAlignment="1">
      <alignment horizontal="right" vertical="center" wrapText="1"/>
    </xf>
    <xf numFmtId="10" fontId="0" fillId="0" borderId="0" xfId="0" applyNumberFormat="1" applyFont="1"/>
    <xf numFmtId="0" fontId="0" fillId="0" borderId="0" xfId="0" applyFont="1" applyFill="1"/>
    <xf numFmtId="0" fontId="3" fillId="0" borderId="0" xfId="0" applyFont="1" applyFill="1" applyBorder="1" applyAlignment="1">
      <alignment horizontal="right" vertical="center" wrapText="1"/>
    </xf>
    <xf numFmtId="49" fontId="1" fillId="2" borderId="1" xfId="1" applyNumberFormat="1" applyFill="1" applyBorder="1" applyAlignment="1">
      <alignment horizontal="right" vertical="center" wrapText="1"/>
    </xf>
    <xf numFmtId="49" fontId="1" fillId="2" borderId="2" xfId="1" applyNumberFormat="1" applyFill="1" applyBorder="1" applyAlignment="1">
      <alignment horizontal="right" vertical="center" wrapText="1"/>
    </xf>
    <xf numFmtId="49" fontId="1" fillId="2" borderId="1" xfId="1" applyNumberFormat="1" applyFill="1" applyBorder="1" applyAlignment="1">
      <alignment horizontal="right" vertical="center"/>
    </xf>
    <xf numFmtId="49" fontId="1" fillId="2" borderId="2" xfId="1" applyNumberFormat="1" applyFill="1" applyBorder="1" applyAlignment="1">
      <alignment horizontal="right" vertical="center"/>
    </xf>
    <xf numFmtId="49" fontId="0" fillId="0" borderId="0" xfId="0" applyNumberFormat="1" applyFo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Z85"/>
  <sheetViews>
    <sheetView tabSelected="1" topLeftCell="A54" workbookViewId="0">
      <selection activeCell="B2" sqref="B2:B81"/>
    </sheetView>
  </sheetViews>
  <sheetFormatPr defaultRowHeight="14.4" x14ac:dyDescent="0.3"/>
  <cols>
    <col min="2" max="2" width="37.109375" customWidth="1"/>
    <col min="3" max="3" width="24.88671875" customWidth="1"/>
    <col min="4" max="4" width="14.5546875" customWidth="1"/>
    <col min="5" max="5" width="14.5546875" style="8" customWidth="1"/>
    <col min="6" max="6" width="12.33203125" style="8" customWidth="1"/>
    <col min="7" max="7" width="12.21875" customWidth="1"/>
    <col min="8" max="8" width="14.88671875" customWidth="1"/>
    <col min="9" max="11" width="20.6640625" style="8" customWidth="1"/>
    <col min="12" max="12" width="9.109375" customWidth="1"/>
    <col min="13" max="13" width="21.33203125" customWidth="1"/>
    <col min="14" max="14" width="19.77734375" customWidth="1"/>
    <col min="15" max="15" width="23.44140625" customWidth="1"/>
    <col min="21" max="21" width="13.109375" bestFit="1" customWidth="1"/>
  </cols>
  <sheetData>
    <row r="1" spans="1:104" x14ac:dyDescent="0.3">
      <c r="A1" t="s">
        <v>0</v>
      </c>
      <c r="B1" t="s">
        <v>1</v>
      </c>
      <c r="C1" t="s">
        <v>97</v>
      </c>
      <c r="D1" t="s">
        <v>96</v>
      </c>
      <c r="E1" s="8" t="s">
        <v>416</v>
      </c>
      <c r="F1" s="8" t="s">
        <v>103</v>
      </c>
      <c r="G1" t="s">
        <v>3</v>
      </c>
      <c r="H1" t="s">
        <v>2</v>
      </c>
      <c r="I1" s="8" t="s">
        <v>104</v>
      </c>
      <c r="J1" s="8" t="s">
        <v>4</v>
      </c>
      <c r="K1" s="8" t="s">
        <v>6</v>
      </c>
      <c r="L1" t="s">
        <v>98</v>
      </c>
      <c r="M1" t="s">
        <v>415</v>
      </c>
      <c r="N1" t="s">
        <v>5</v>
      </c>
      <c r="O1" t="s">
        <v>87</v>
      </c>
      <c r="P1" t="s">
        <v>88</v>
      </c>
      <c r="Q1" t="s">
        <v>89</v>
      </c>
      <c r="R1" t="s">
        <v>90</v>
      </c>
      <c r="S1" t="s">
        <v>95</v>
      </c>
      <c r="T1" t="s">
        <v>99</v>
      </c>
      <c r="U1" t="s">
        <v>100</v>
      </c>
      <c r="V1" t="s">
        <v>101</v>
      </c>
      <c r="W1" t="s">
        <v>102</v>
      </c>
    </row>
    <row r="2" spans="1:104" x14ac:dyDescent="0.3">
      <c r="A2">
        <v>22</v>
      </c>
      <c r="B2" t="s">
        <v>28</v>
      </c>
      <c r="C2">
        <v>0</v>
      </c>
      <c r="D2">
        <v>0</v>
      </c>
      <c r="E2" s="2">
        <v>0</v>
      </c>
      <c r="F2" s="9">
        <v>16343009</v>
      </c>
      <c r="G2" s="9">
        <v>17541253</v>
      </c>
      <c r="H2" s="5">
        <f>G2-F2</f>
        <v>1198244</v>
      </c>
      <c r="I2" s="8">
        <v>7.3318444602215038E-2</v>
      </c>
      <c r="J2" s="5">
        <v>0.38200000000000001</v>
      </c>
      <c r="K2" s="5">
        <v>0.88400000000000001</v>
      </c>
      <c r="L2" s="4">
        <v>370555</v>
      </c>
      <c r="M2" s="8">
        <v>1.6000000000000014E-2</v>
      </c>
      <c r="N2" s="4">
        <v>154205.70000000001</v>
      </c>
      <c r="O2" s="13" t="s">
        <v>105</v>
      </c>
      <c r="P2" s="14" t="s">
        <v>106</v>
      </c>
      <c r="Q2" s="15" t="s">
        <v>107</v>
      </c>
      <c r="R2" s="16" t="s">
        <v>108</v>
      </c>
      <c r="S2" s="17">
        <f>P2-R2</f>
        <v>0.35089999999999999</v>
      </c>
      <c r="T2" s="12">
        <v>20.6</v>
      </c>
      <c r="U2" s="5">
        <v>2399000</v>
      </c>
      <c r="V2" s="4">
        <v>30087</v>
      </c>
      <c r="W2" s="5">
        <f>V2/U2</f>
        <v>1.2541475614839516E-2</v>
      </c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</row>
    <row r="3" spans="1:104" x14ac:dyDescent="0.3">
      <c r="A3">
        <v>31</v>
      </c>
      <c r="B3" t="s">
        <v>37</v>
      </c>
      <c r="C3">
        <v>0</v>
      </c>
      <c r="D3">
        <v>0</v>
      </c>
      <c r="E3" s="2">
        <v>0</v>
      </c>
      <c r="F3" s="9">
        <v>3101130</v>
      </c>
      <c r="G3" s="9">
        <v>3255262</v>
      </c>
      <c r="H3" s="5">
        <f>G3-F3</f>
        <v>154132</v>
      </c>
      <c r="I3" s="8">
        <v>4.9701882862053459E-2</v>
      </c>
      <c r="J3" s="5">
        <v>0.80500000000000005</v>
      </c>
      <c r="K3" s="5">
        <v>1.411</v>
      </c>
      <c r="L3" s="4">
        <v>234010</v>
      </c>
      <c r="M3" s="8">
        <v>-2.7000000000000024E-2</v>
      </c>
      <c r="N3" s="4">
        <v>285642.7</v>
      </c>
      <c r="O3" s="13" t="s">
        <v>109</v>
      </c>
      <c r="P3" s="14" t="s">
        <v>110</v>
      </c>
      <c r="Q3" s="15" t="s">
        <v>111</v>
      </c>
      <c r="R3" s="16" t="s">
        <v>112</v>
      </c>
      <c r="S3" s="17">
        <f>P3-R3</f>
        <v>0.4597</v>
      </c>
      <c r="T3" s="12">
        <v>16</v>
      </c>
      <c r="U3" s="4">
        <v>817000</v>
      </c>
      <c r="V3" s="4">
        <v>12330</v>
      </c>
      <c r="W3" s="5">
        <f>V3/U3</f>
        <v>1.5091799265605875E-2</v>
      </c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</row>
    <row r="4" spans="1:104" x14ac:dyDescent="0.3">
      <c r="A4">
        <v>32</v>
      </c>
      <c r="B4" t="s">
        <v>38</v>
      </c>
      <c r="C4">
        <v>0</v>
      </c>
      <c r="D4">
        <v>1</v>
      </c>
      <c r="E4" s="2">
        <v>1</v>
      </c>
      <c r="F4" s="9">
        <v>3479249</v>
      </c>
      <c r="G4" s="9">
        <v>5863079</v>
      </c>
      <c r="H4" s="5">
        <f>G4-F4</f>
        <v>2383830</v>
      </c>
      <c r="I4" s="8">
        <v>0.68515648060831524</v>
      </c>
      <c r="J4" s="5">
        <v>0.98599999999999999</v>
      </c>
      <c r="K4" s="5">
        <v>1.625</v>
      </c>
      <c r="L4" s="5">
        <v>468621</v>
      </c>
      <c r="M4" s="8">
        <v>6.0000000000000053E-3</v>
      </c>
      <c r="N4" s="4">
        <v>387959</v>
      </c>
      <c r="O4" s="13" t="s">
        <v>113</v>
      </c>
      <c r="P4" s="14" t="s">
        <v>114</v>
      </c>
      <c r="Q4" s="15" t="s">
        <v>115</v>
      </c>
      <c r="R4" s="16" t="s">
        <v>116</v>
      </c>
      <c r="S4" s="17">
        <f>P4-R4</f>
        <v>0.42030000000000001</v>
      </c>
      <c r="T4" s="12">
        <v>13.2</v>
      </c>
      <c r="U4" s="5">
        <v>1202000</v>
      </c>
      <c r="V4" s="4">
        <v>17823</v>
      </c>
      <c r="W4" s="5">
        <f>V4/U4</f>
        <v>1.4827787021630616E-2</v>
      </c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spans="1:104" x14ac:dyDescent="0.3">
      <c r="A5">
        <v>33</v>
      </c>
      <c r="B5" t="s">
        <v>39</v>
      </c>
      <c r="C5">
        <v>0</v>
      </c>
      <c r="D5">
        <v>0</v>
      </c>
      <c r="E5" s="2">
        <v>0</v>
      </c>
      <c r="F5" s="9">
        <v>1100321</v>
      </c>
      <c r="G5" s="9">
        <v>927788</v>
      </c>
      <c r="H5" s="5">
        <f>G5-F5</f>
        <v>-172533</v>
      </c>
      <c r="I5" s="8">
        <v>-0.15680242401989963</v>
      </c>
      <c r="J5" s="5">
        <v>0.50700000000000001</v>
      </c>
      <c r="K5" s="5">
        <v>0.78900000000000003</v>
      </c>
      <c r="L5" s="4">
        <v>211330</v>
      </c>
      <c r="M5" s="8">
        <v>0.11299999999999999</v>
      </c>
      <c r="N5" s="4">
        <v>208328.8</v>
      </c>
      <c r="O5" s="13" t="s">
        <v>117</v>
      </c>
      <c r="P5" s="14" t="s">
        <v>118</v>
      </c>
      <c r="Q5" s="15" t="s">
        <v>119</v>
      </c>
      <c r="R5" s="16" t="s">
        <v>120</v>
      </c>
      <c r="S5" s="17">
        <f>P5-R5</f>
        <v>0.53120000000000001</v>
      </c>
      <c r="T5" s="12">
        <v>12.5</v>
      </c>
      <c r="U5" s="5">
        <v>1014000</v>
      </c>
      <c r="V5" s="4">
        <v>11844</v>
      </c>
      <c r="W5" s="5">
        <f>V5/U5</f>
        <v>1.1680473372781065E-2</v>
      </c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</row>
    <row r="6" spans="1:104" x14ac:dyDescent="0.3">
      <c r="A6">
        <v>34</v>
      </c>
      <c r="B6" t="s">
        <v>40</v>
      </c>
      <c r="C6">
        <v>0</v>
      </c>
      <c r="D6">
        <v>0</v>
      </c>
      <c r="E6" s="2">
        <v>0</v>
      </c>
      <c r="F6" s="9">
        <v>565362</v>
      </c>
      <c r="G6" s="9">
        <v>271273</v>
      </c>
      <c r="H6" s="5">
        <f>G6-F6</f>
        <v>-294089</v>
      </c>
      <c r="I6" s="8">
        <v>-0.52017822209487019</v>
      </c>
      <c r="J6" s="5">
        <v>0.73199999999999998</v>
      </c>
      <c r="K6" s="5">
        <v>0.82299999999999995</v>
      </c>
      <c r="L6" s="4">
        <v>546151</v>
      </c>
      <c r="M6" s="8">
        <v>5.4999999999999938E-2</v>
      </c>
      <c r="N6" s="4">
        <v>354982.9</v>
      </c>
      <c r="O6" s="13" t="s">
        <v>121</v>
      </c>
      <c r="P6" s="14" t="s">
        <v>122</v>
      </c>
      <c r="Q6" s="15" t="s">
        <v>123</v>
      </c>
      <c r="R6" s="16" t="s">
        <v>124</v>
      </c>
      <c r="S6" s="17">
        <f>P6-R6</f>
        <v>0.35849999999999999</v>
      </c>
      <c r="T6" s="12">
        <v>6.5</v>
      </c>
      <c r="U6" s="5">
        <v>1541000</v>
      </c>
      <c r="V6" s="4">
        <v>19048</v>
      </c>
      <c r="W6" s="5">
        <f>V6/U6</f>
        <v>1.2360804672290721E-2</v>
      </c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</row>
    <row r="7" spans="1:104" x14ac:dyDescent="0.3">
      <c r="A7">
        <v>35</v>
      </c>
      <c r="B7" t="s">
        <v>41</v>
      </c>
      <c r="C7">
        <v>0</v>
      </c>
      <c r="D7">
        <v>0</v>
      </c>
      <c r="E7" s="2">
        <v>0</v>
      </c>
      <c r="F7" s="9">
        <v>5078611</v>
      </c>
      <c r="G7" s="9">
        <v>5077189</v>
      </c>
      <c r="H7" s="5">
        <f>G7-F7</f>
        <v>-1422</v>
      </c>
      <c r="I7" s="8">
        <v>-2.7999781830112536E-4</v>
      </c>
      <c r="J7" s="5">
        <v>0.497</v>
      </c>
      <c r="K7" s="5">
        <v>0.877</v>
      </c>
      <c r="L7" s="4">
        <v>209824</v>
      </c>
      <c r="M7" s="8">
        <v>8.2999999999999963E-2</v>
      </c>
      <c r="N7" s="4">
        <v>166654</v>
      </c>
      <c r="O7" s="13" t="s">
        <v>125</v>
      </c>
      <c r="P7" s="14" t="s">
        <v>126</v>
      </c>
      <c r="Q7" s="15" t="s">
        <v>127</v>
      </c>
      <c r="R7" s="16" t="s">
        <v>128</v>
      </c>
      <c r="S7" s="17">
        <f>P7-R7</f>
        <v>0.43109999999999998</v>
      </c>
      <c r="T7" s="12">
        <v>10.5</v>
      </c>
      <c r="U7" s="5">
        <v>1254000</v>
      </c>
      <c r="V7" s="4">
        <v>15870</v>
      </c>
      <c r="W7" s="5">
        <f>V7/U7</f>
        <v>1.2655502392344498E-2</v>
      </c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</row>
    <row r="8" spans="1:104" x14ac:dyDescent="0.3">
      <c r="A8">
        <v>36</v>
      </c>
      <c r="B8" t="s">
        <v>42</v>
      </c>
      <c r="C8" s="8">
        <v>0</v>
      </c>
      <c r="D8" s="8">
        <v>0</v>
      </c>
      <c r="E8" s="2">
        <v>0</v>
      </c>
      <c r="F8" s="9">
        <v>2148749</v>
      </c>
      <c r="G8" s="9">
        <v>2058445</v>
      </c>
      <c r="H8" s="5">
        <f>G8-F8</f>
        <v>-90304</v>
      </c>
      <c r="I8" s="8">
        <v>-4.2026313915678348E-2</v>
      </c>
      <c r="J8" s="5">
        <v>0.52200000000000002</v>
      </c>
      <c r="K8" s="5">
        <v>0.871</v>
      </c>
      <c r="L8" s="4">
        <v>285623</v>
      </c>
      <c r="M8" s="8">
        <v>2.200000000000002E-2</v>
      </c>
      <c r="N8" s="4">
        <v>200178.9</v>
      </c>
      <c r="O8" s="13" t="s">
        <v>129</v>
      </c>
      <c r="P8" s="14" t="s">
        <v>130</v>
      </c>
      <c r="Q8" s="15" t="s">
        <v>131</v>
      </c>
      <c r="R8" s="16" t="s">
        <v>132</v>
      </c>
      <c r="S8" s="17">
        <f>P8-R8</f>
        <v>0.32740000000000002</v>
      </c>
      <c r="T8" s="12">
        <v>15</v>
      </c>
      <c r="U8" s="5">
        <v>1422000</v>
      </c>
      <c r="V8" s="4">
        <v>12521</v>
      </c>
      <c r="W8" s="5">
        <f>V8/U8</f>
        <v>8.8052039381153312E-3</v>
      </c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</row>
    <row r="9" spans="1:104" x14ac:dyDescent="0.3">
      <c r="A9">
        <v>37</v>
      </c>
      <c r="B9" t="s">
        <v>43</v>
      </c>
      <c r="C9" s="8">
        <v>0</v>
      </c>
      <c r="D9" s="8">
        <v>0</v>
      </c>
      <c r="E9" s="2">
        <v>0</v>
      </c>
      <c r="F9" s="9">
        <v>2635496</v>
      </c>
      <c r="G9" s="9">
        <v>1750949</v>
      </c>
      <c r="H9" s="5">
        <f>G9-F9</f>
        <v>-884547</v>
      </c>
      <c r="I9" s="8">
        <v>-0.3356282840118141</v>
      </c>
      <c r="J9" s="5">
        <v>0.57499999999999996</v>
      </c>
      <c r="K9" s="5">
        <v>0.83099999999999996</v>
      </c>
      <c r="L9" s="4">
        <v>573903</v>
      </c>
      <c r="M9" s="8">
        <v>2.8000000000000025E-2</v>
      </c>
      <c r="N9" s="4">
        <v>221677.3</v>
      </c>
      <c r="O9" s="13" t="s">
        <v>133</v>
      </c>
      <c r="P9" s="14" t="s">
        <v>134</v>
      </c>
      <c r="Q9" s="15" t="s">
        <v>135</v>
      </c>
      <c r="R9" s="16" t="s">
        <v>136</v>
      </c>
      <c r="S9" s="17">
        <f>P9-R9</f>
        <v>0.4456</v>
      </c>
      <c r="T9" s="12">
        <v>13.6</v>
      </c>
      <c r="U9" s="5">
        <v>2583000</v>
      </c>
      <c r="V9" s="4">
        <v>25822</v>
      </c>
      <c r="W9" s="5">
        <f>V9/U9</f>
        <v>9.9969028261711196E-3</v>
      </c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</row>
    <row r="10" spans="1:104" x14ac:dyDescent="0.3">
      <c r="A10">
        <v>38</v>
      </c>
      <c r="B10" t="s">
        <v>44</v>
      </c>
      <c r="C10">
        <v>0</v>
      </c>
      <c r="D10" s="8">
        <v>0</v>
      </c>
      <c r="E10" s="2">
        <v>0</v>
      </c>
      <c r="F10" s="9">
        <v>1332508</v>
      </c>
      <c r="G10" s="9">
        <v>821962</v>
      </c>
      <c r="H10" s="5">
        <f>G10-F10</f>
        <v>-510546</v>
      </c>
      <c r="I10" s="8">
        <v>-0.3831466677873604</v>
      </c>
      <c r="J10" s="5">
        <v>0.73599999999999999</v>
      </c>
      <c r="K10" s="5">
        <v>1.0349999999999999</v>
      </c>
      <c r="L10" s="4">
        <v>356071</v>
      </c>
      <c r="M10" s="8">
        <v>4.8000000000000043E-2</v>
      </c>
      <c r="N10" s="4">
        <v>297377.7</v>
      </c>
      <c r="O10" s="13" t="s">
        <v>137</v>
      </c>
      <c r="P10" s="14" t="s">
        <v>138</v>
      </c>
      <c r="Q10" s="15" t="s">
        <v>139</v>
      </c>
      <c r="R10" s="16" t="s">
        <v>140</v>
      </c>
      <c r="S10" s="17">
        <f>P10-R10</f>
        <v>0.44090000000000007</v>
      </c>
      <c r="T10" s="12">
        <v>13.2</v>
      </c>
      <c r="U10" s="5">
        <v>1196000</v>
      </c>
      <c r="V10" s="4">
        <v>16783</v>
      </c>
      <c r="W10" s="5">
        <f>V10/U10</f>
        <v>1.4032608695652173E-2</v>
      </c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</row>
    <row r="11" spans="1:104" x14ac:dyDescent="0.3">
      <c r="A11">
        <v>39</v>
      </c>
      <c r="B11" t="s">
        <v>45</v>
      </c>
      <c r="C11">
        <v>0</v>
      </c>
      <c r="D11" s="8">
        <v>0</v>
      </c>
      <c r="E11" s="2">
        <v>0</v>
      </c>
      <c r="F11" s="9">
        <v>6969065</v>
      </c>
      <c r="G11" s="9">
        <v>5745860</v>
      </c>
      <c r="H11" s="5">
        <f>G11-F11</f>
        <v>-1223205</v>
      </c>
      <c r="I11" s="8">
        <v>-0.17551924110336181</v>
      </c>
      <c r="J11" s="5">
        <v>0.46500000000000002</v>
      </c>
      <c r="K11" s="5">
        <v>0.85899999999999999</v>
      </c>
      <c r="L11" s="4">
        <v>568613</v>
      </c>
      <c r="M11" s="8">
        <v>9.2999999999999972E-2</v>
      </c>
      <c r="N11" s="4">
        <v>243941.3</v>
      </c>
      <c r="O11" s="13" t="s">
        <v>141</v>
      </c>
      <c r="P11" s="14" t="s">
        <v>142</v>
      </c>
      <c r="Q11" s="15" t="s">
        <v>143</v>
      </c>
      <c r="R11" s="16" t="s">
        <v>144</v>
      </c>
      <c r="S11" s="17">
        <f>P11-R11</f>
        <v>0.38919999999999993</v>
      </c>
      <c r="T11" s="12">
        <v>10.3</v>
      </c>
      <c r="U11" s="5">
        <v>2330000</v>
      </c>
      <c r="V11" s="4">
        <v>21106</v>
      </c>
      <c r="W11" s="5">
        <f>V11/U11</f>
        <v>9.0583690987124463E-3</v>
      </c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</row>
    <row r="12" spans="1:104" x14ac:dyDescent="0.3">
      <c r="A12" s="2">
        <v>77</v>
      </c>
      <c r="B12" s="2" t="s">
        <v>83</v>
      </c>
      <c r="C12" s="2">
        <v>1</v>
      </c>
      <c r="D12" s="2">
        <v>0</v>
      </c>
      <c r="E12" s="2">
        <v>1</v>
      </c>
      <c r="F12" s="9"/>
      <c r="G12" s="9"/>
      <c r="H12" s="5"/>
      <c r="I12" s="5"/>
      <c r="J12" s="11">
        <v>3.1429999999999998</v>
      </c>
      <c r="K12" s="11">
        <v>0.94499999999999995</v>
      </c>
      <c r="L12" s="4">
        <v>10577810</v>
      </c>
      <c r="M12" s="8">
        <v>3.0000000000000027E-2</v>
      </c>
      <c r="N12" s="4">
        <v>887545.2</v>
      </c>
      <c r="O12" s="13" t="s">
        <v>145</v>
      </c>
      <c r="P12" s="14" t="s">
        <v>146</v>
      </c>
      <c r="Q12" s="15" t="s">
        <v>91</v>
      </c>
      <c r="R12" s="16" t="s">
        <v>92</v>
      </c>
      <c r="S12" s="17">
        <f>P12-R12</f>
        <v>0.26500000000000001</v>
      </c>
      <c r="T12" s="12">
        <v>9.6</v>
      </c>
      <c r="U12" s="5">
        <v>11980000</v>
      </c>
      <c r="V12" s="4">
        <v>72339</v>
      </c>
      <c r="W12" s="5">
        <f>V12/U12</f>
        <v>6.0383138564273787E-3</v>
      </c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</row>
    <row r="13" spans="1:104" x14ac:dyDescent="0.3">
      <c r="A13" s="2">
        <v>78</v>
      </c>
      <c r="B13" s="2" t="s">
        <v>84</v>
      </c>
      <c r="C13" s="2">
        <v>0</v>
      </c>
      <c r="D13" s="2">
        <v>1</v>
      </c>
      <c r="E13" s="2">
        <v>1</v>
      </c>
      <c r="F13" s="9"/>
      <c r="G13" s="9"/>
      <c r="H13" s="5"/>
      <c r="I13" s="5"/>
      <c r="J13" s="11">
        <v>1.466</v>
      </c>
      <c r="K13" s="11">
        <v>0.82199999999999995</v>
      </c>
      <c r="L13" s="4">
        <v>2291993</v>
      </c>
      <c r="M13" s="8">
        <v>4.2999999999999927E-2</v>
      </c>
      <c r="N13" s="4">
        <v>459261.2</v>
      </c>
      <c r="O13" s="13" t="s">
        <v>147</v>
      </c>
      <c r="P13" s="14" t="s">
        <v>148</v>
      </c>
      <c r="Q13" s="15" t="s">
        <v>93</v>
      </c>
      <c r="R13" s="16" t="s">
        <v>94</v>
      </c>
      <c r="S13" s="17">
        <f>P13-R13</f>
        <v>0.4325</v>
      </c>
      <c r="T13" s="12">
        <v>9</v>
      </c>
      <c r="U13" s="5">
        <v>5028000</v>
      </c>
      <c r="V13" s="4">
        <v>38193</v>
      </c>
      <c r="W13" s="5">
        <f>V13/U13</f>
        <v>7.5960620525059664E-3</v>
      </c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</row>
    <row r="14" spans="1:104" x14ac:dyDescent="0.3">
      <c r="A14" s="2">
        <v>79</v>
      </c>
      <c r="B14" s="2" t="s">
        <v>85</v>
      </c>
      <c r="C14" s="2">
        <v>0</v>
      </c>
      <c r="D14" s="2">
        <v>0</v>
      </c>
      <c r="E14" s="2">
        <v>0</v>
      </c>
      <c r="F14" s="9">
        <v>2313890</v>
      </c>
      <c r="G14" s="9">
        <v>2616846</v>
      </c>
      <c r="H14" s="5">
        <f>G14-F14</f>
        <v>302956</v>
      </c>
      <c r="I14" s="5">
        <f>G14/F14</f>
        <v>1.1309293008742853</v>
      </c>
      <c r="J14" s="11">
        <v>0.46</v>
      </c>
      <c r="K14" s="11">
        <v>1.29</v>
      </c>
      <c r="L14" s="4">
        <v>42451</v>
      </c>
      <c r="M14" s="8">
        <v>1.5000000000000124E-2</v>
      </c>
      <c r="N14" s="4">
        <v>244614</v>
      </c>
      <c r="O14" s="13" t="s">
        <v>149</v>
      </c>
      <c r="P14" s="14" t="s">
        <v>150</v>
      </c>
      <c r="Q14" s="15" t="s">
        <v>151</v>
      </c>
      <c r="R14" s="16" t="s">
        <v>152</v>
      </c>
      <c r="S14" s="17">
        <f>P14-R14</f>
        <v>0.42959999999999998</v>
      </c>
      <c r="T14" s="12">
        <v>18.8</v>
      </c>
      <c r="U14" s="5">
        <v>173000</v>
      </c>
      <c r="V14" s="4">
        <v>3787</v>
      </c>
      <c r="W14" s="5">
        <f>V14/U14</f>
        <v>2.1890173410404626E-2</v>
      </c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</row>
    <row r="15" spans="1:104" x14ac:dyDescent="0.3">
      <c r="A15" s="8">
        <v>23</v>
      </c>
      <c r="B15" s="8" t="s">
        <v>29</v>
      </c>
      <c r="C15" s="2">
        <v>0</v>
      </c>
      <c r="D15" s="2">
        <v>0</v>
      </c>
      <c r="E15" s="2">
        <v>0</v>
      </c>
      <c r="F15" s="9">
        <v>8341560</v>
      </c>
      <c r="G15" s="9">
        <v>10130495</v>
      </c>
      <c r="H15" s="5">
        <f>G15-F15</f>
        <v>1788935</v>
      </c>
      <c r="I15" s="8">
        <v>0.21446048460959344</v>
      </c>
      <c r="J15" s="5">
        <v>0.52500000000000002</v>
      </c>
      <c r="K15" s="5">
        <v>1.163</v>
      </c>
      <c r="L15" s="4">
        <v>225504</v>
      </c>
      <c r="M15" s="8">
        <v>2.200000000000002E-2</v>
      </c>
      <c r="N15" s="4">
        <v>205511.4</v>
      </c>
      <c r="O15" s="13" t="s">
        <v>153</v>
      </c>
      <c r="P15" s="14" t="s">
        <v>154</v>
      </c>
      <c r="Q15" s="15" t="s">
        <v>155</v>
      </c>
      <c r="R15" s="16" t="s">
        <v>156</v>
      </c>
      <c r="S15" s="17">
        <f>P15-R15</f>
        <v>0.5132000000000001</v>
      </c>
      <c r="T15" s="12">
        <v>17.600000000000001</v>
      </c>
      <c r="U15" s="5">
        <v>1095000</v>
      </c>
      <c r="V15" s="4">
        <v>19046</v>
      </c>
      <c r="W15" s="5">
        <f>V15/U15</f>
        <v>1.7393607305936074E-2</v>
      </c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</row>
    <row r="16" spans="1:104" x14ac:dyDescent="0.3">
      <c r="A16">
        <v>40</v>
      </c>
      <c r="B16" t="s">
        <v>46</v>
      </c>
      <c r="C16" s="2">
        <v>0</v>
      </c>
      <c r="D16" s="2">
        <v>0</v>
      </c>
      <c r="E16" s="2">
        <v>0</v>
      </c>
      <c r="F16" s="9">
        <v>8078456</v>
      </c>
      <c r="G16" s="9">
        <v>8722345</v>
      </c>
      <c r="H16" s="5">
        <f>G16-F16</f>
        <v>643889</v>
      </c>
      <c r="I16" s="8">
        <v>7.9704463328140962E-2</v>
      </c>
      <c r="J16" s="5">
        <v>0.35</v>
      </c>
      <c r="K16" s="5">
        <v>0.878</v>
      </c>
      <c r="L16" s="4">
        <v>136512</v>
      </c>
      <c r="M16" s="8">
        <v>-3.5999999999999921E-2</v>
      </c>
      <c r="N16" s="4">
        <v>129826</v>
      </c>
      <c r="O16" s="13" t="s">
        <v>157</v>
      </c>
      <c r="P16" s="14" t="s">
        <v>158</v>
      </c>
      <c r="Q16" s="15" t="s">
        <v>159</v>
      </c>
      <c r="R16" s="16" t="s">
        <v>160</v>
      </c>
      <c r="S16" s="17">
        <f>P16-R16</f>
        <v>0.43550000000000005</v>
      </c>
      <c r="T16" s="12">
        <v>13.8</v>
      </c>
      <c r="U16" s="5">
        <v>1049000</v>
      </c>
      <c r="V16" s="4">
        <v>11771</v>
      </c>
      <c r="W16" s="5">
        <f>V16/U16</f>
        <v>1.1221163012392755E-2</v>
      </c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</row>
    <row r="17" spans="1:37" x14ac:dyDescent="0.3">
      <c r="A17">
        <v>41</v>
      </c>
      <c r="B17" t="s">
        <v>47</v>
      </c>
      <c r="C17" s="2">
        <v>0</v>
      </c>
      <c r="D17" s="2">
        <v>0</v>
      </c>
      <c r="E17" s="2">
        <v>0</v>
      </c>
      <c r="F17" s="9">
        <v>2645874</v>
      </c>
      <c r="G17" s="9">
        <v>1408978</v>
      </c>
      <c r="H17" s="5">
        <f>G17-F17</f>
        <v>-1236896</v>
      </c>
      <c r="I17" s="8">
        <v>-0.46748106674769851</v>
      </c>
      <c r="J17" s="5">
        <v>1.0409999999999999</v>
      </c>
      <c r="K17" s="5">
        <v>1.2130000000000001</v>
      </c>
      <c r="L17" s="7">
        <v>743764</v>
      </c>
      <c r="M17" s="8">
        <v>9.4000000000000083E-2</v>
      </c>
      <c r="N17" s="4">
        <v>306935.90000000002</v>
      </c>
      <c r="O17" s="13" t="s">
        <v>161</v>
      </c>
      <c r="P17" s="14" t="s">
        <v>162</v>
      </c>
      <c r="Q17" s="15" t="s">
        <v>163</v>
      </c>
      <c r="R17" s="16" t="s">
        <v>164</v>
      </c>
      <c r="S17" s="17">
        <f>P17-R17</f>
        <v>0.32879999999999998</v>
      </c>
      <c r="T17" s="12">
        <v>16.8</v>
      </c>
      <c r="U17" s="5">
        <v>2422000</v>
      </c>
      <c r="V17" s="4">
        <v>32879</v>
      </c>
      <c r="W17" s="5">
        <f>V17/U17</f>
        <v>1.357514450867052E-2</v>
      </c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</row>
    <row r="18" spans="1:37" x14ac:dyDescent="0.3">
      <c r="A18">
        <v>7</v>
      </c>
      <c r="B18" t="s">
        <v>13</v>
      </c>
      <c r="C18" s="2">
        <v>0</v>
      </c>
      <c r="D18" s="2">
        <v>0</v>
      </c>
      <c r="E18" s="2">
        <v>0</v>
      </c>
      <c r="F18" s="9">
        <v>6468959</v>
      </c>
      <c r="G18" s="9">
        <v>9097341</v>
      </c>
      <c r="H18" s="5">
        <f>G18-F18</f>
        <v>2628382</v>
      </c>
      <c r="I18" s="8">
        <v>0.40630679526644076</v>
      </c>
      <c r="J18" s="5">
        <v>0.27500000000000002</v>
      </c>
      <c r="K18" s="5">
        <v>0.76200000000000001</v>
      </c>
      <c r="L18" s="4">
        <v>105992</v>
      </c>
      <c r="M18" s="8">
        <v>5.8000000000000052E-2</v>
      </c>
      <c r="N18" s="4">
        <v>123389.8</v>
      </c>
      <c r="O18" s="13" t="s">
        <v>165</v>
      </c>
      <c r="P18" s="14" t="s">
        <v>166</v>
      </c>
      <c r="Q18" s="15" t="s">
        <v>167</v>
      </c>
      <c r="R18" s="16" t="s">
        <v>168</v>
      </c>
      <c r="S18" s="17">
        <f>P18-R18</f>
        <v>0.63829999999999998</v>
      </c>
      <c r="T18" s="12">
        <v>14.2</v>
      </c>
      <c r="U18" s="5">
        <v>859000</v>
      </c>
      <c r="V18" s="4">
        <v>8738</v>
      </c>
      <c r="W18" s="5">
        <f>V18/U18</f>
        <v>1.0172293364377184E-2</v>
      </c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</row>
    <row r="19" spans="1:37" x14ac:dyDescent="0.3">
      <c r="A19">
        <v>42</v>
      </c>
      <c r="B19" t="s">
        <v>48</v>
      </c>
      <c r="C19" s="2">
        <v>0</v>
      </c>
      <c r="D19" s="2">
        <v>0</v>
      </c>
      <c r="E19" s="2">
        <v>0</v>
      </c>
      <c r="F19" s="9">
        <v>483301</v>
      </c>
      <c r="G19" s="9">
        <v>325413</v>
      </c>
      <c r="H19" s="5">
        <f>G19-F19</f>
        <v>-157888</v>
      </c>
      <c r="I19" s="8">
        <v>-0.32668668179871341</v>
      </c>
      <c r="J19" s="5">
        <v>0.751</v>
      </c>
      <c r="K19" s="5">
        <v>0.88200000000000001</v>
      </c>
      <c r="L19" s="4">
        <v>264622</v>
      </c>
      <c r="M19" s="8">
        <v>4.7000000000000153E-2</v>
      </c>
      <c r="N19" s="4">
        <v>278319.2</v>
      </c>
      <c r="O19" s="13" t="s">
        <v>169</v>
      </c>
      <c r="P19" s="14" t="s">
        <v>170</v>
      </c>
      <c r="Q19" s="15" t="s">
        <v>171</v>
      </c>
      <c r="R19" s="16" t="s">
        <v>172</v>
      </c>
      <c r="S19" s="17">
        <f>P19-R19</f>
        <v>0.31219999999999998</v>
      </c>
      <c r="T19" s="12">
        <v>10.8</v>
      </c>
      <c r="U19" s="5">
        <v>955000</v>
      </c>
      <c r="V19" s="4">
        <v>13419</v>
      </c>
      <c r="W19" s="5">
        <f>V19/U19</f>
        <v>1.405130890052356E-2</v>
      </c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</row>
    <row r="20" spans="1:37" x14ac:dyDescent="0.3">
      <c r="A20">
        <v>43</v>
      </c>
      <c r="B20" t="s">
        <v>49</v>
      </c>
      <c r="C20" s="2">
        <v>0</v>
      </c>
      <c r="D20" s="2">
        <v>0</v>
      </c>
      <c r="E20" s="2">
        <v>0</v>
      </c>
      <c r="F20" s="9">
        <v>402689</v>
      </c>
      <c r="G20" s="9">
        <v>222055</v>
      </c>
      <c r="H20" s="5">
        <f>G20-F20</f>
        <v>-180634</v>
      </c>
      <c r="I20" s="8">
        <v>-0.4485694915927676</v>
      </c>
      <c r="J20" s="5">
        <v>0.78300000000000003</v>
      </c>
      <c r="K20" s="5">
        <v>0.88100000000000001</v>
      </c>
      <c r="L20" s="4">
        <v>288476</v>
      </c>
      <c r="M20" s="8">
        <v>9.5999999999999863E-2</v>
      </c>
      <c r="N20" s="4">
        <v>286496.7</v>
      </c>
      <c r="O20" s="13" t="s">
        <v>173</v>
      </c>
      <c r="P20" s="14" t="s">
        <v>174</v>
      </c>
      <c r="Q20" s="15" t="s">
        <v>175</v>
      </c>
      <c r="R20" s="16" t="s">
        <v>176</v>
      </c>
      <c r="S20" s="17">
        <f>P20-R20</f>
        <v>0.39009999999999995</v>
      </c>
      <c r="T20" s="12">
        <v>8.5</v>
      </c>
      <c r="U20" s="5">
        <v>1006000</v>
      </c>
      <c r="V20" s="4">
        <v>13200</v>
      </c>
      <c r="W20" s="5">
        <f>V20/U20</f>
        <v>1.3121272365805169E-2</v>
      </c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</row>
    <row r="21" spans="1:37" x14ac:dyDescent="0.3">
      <c r="A21">
        <v>24</v>
      </c>
      <c r="B21" t="s">
        <v>30</v>
      </c>
      <c r="C21" s="2">
        <v>0</v>
      </c>
      <c r="D21" s="2">
        <v>0</v>
      </c>
      <c r="E21" s="2">
        <v>0</v>
      </c>
      <c r="F21" s="9">
        <v>29924164</v>
      </c>
      <c r="G21" s="9">
        <v>31674114</v>
      </c>
      <c r="H21" s="5">
        <f>G21-F21</f>
        <v>1749950</v>
      </c>
      <c r="I21" s="8">
        <v>5.8479495032843776E-2</v>
      </c>
      <c r="J21" s="5">
        <v>1.202</v>
      </c>
      <c r="K21" s="5">
        <v>5.6669999999999998</v>
      </c>
      <c r="L21" s="4">
        <v>126984</v>
      </c>
      <c r="M21" s="8">
        <v>2.200000000000002E-2</v>
      </c>
      <c r="N21" s="4">
        <v>396388.6</v>
      </c>
      <c r="O21" s="13" t="s">
        <v>177</v>
      </c>
      <c r="P21" s="14" t="s">
        <v>178</v>
      </c>
      <c r="Q21" s="15" t="s">
        <v>179</v>
      </c>
      <c r="R21" s="16" t="s">
        <v>180</v>
      </c>
      <c r="S21" s="17">
        <f>P21-R21</f>
        <v>0.43870000000000003</v>
      </c>
      <c r="T21" s="12">
        <v>17.8</v>
      </c>
      <c r="U21" s="5">
        <v>320000</v>
      </c>
      <c r="V21" s="4">
        <v>7923</v>
      </c>
      <c r="W21" s="5">
        <f>V21/U21</f>
        <v>2.4759375E-2</v>
      </c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</row>
    <row r="22" spans="1:37" x14ac:dyDescent="0.3">
      <c r="A22">
        <v>9</v>
      </c>
      <c r="B22" t="s">
        <v>15</v>
      </c>
      <c r="C22" s="8">
        <v>1</v>
      </c>
      <c r="D22" s="2">
        <v>0</v>
      </c>
      <c r="E22" s="2">
        <v>1</v>
      </c>
      <c r="F22" s="9">
        <v>5620273</v>
      </c>
      <c r="G22" s="9">
        <v>6442407</v>
      </c>
      <c r="H22" s="5">
        <f>G22-F22</f>
        <v>822134</v>
      </c>
      <c r="I22" s="8">
        <v>0.14628008283583371</v>
      </c>
      <c r="J22" s="5">
        <v>0.25700000000000001</v>
      </c>
      <c r="K22" s="5">
        <v>0.93100000000000005</v>
      </c>
      <c r="L22" s="4">
        <v>59513</v>
      </c>
      <c r="M22" s="8">
        <v>4.7000000000000153E-2</v>
      </c>
      <c r="N22" s="4">
        <v>125750.5</v>
      </c>
      <c r="O22" s="13" t="s">
        <v>181</v>
      </c>
      <c r="P22" s="14" t="s">
        <v>182</v>
      </c>
      <c r="Q22" s="15" t="s">
        <v>183</v>
      </c>
      <c r="R22" s="16" t="s">
        <v>184</v>
      </c>
      <c r="S22" s="17">
        <f>P22-R22</f>
        <v>0.85549999999999993</v>
      </c>
      <c r="T22" s="12">
        <v>16</v>
      </c>
      <c r="U22" s="5">
        <v>472000</v>
      </c>
      <c r="V22" s="4">
        <v>6594</v>
      </c>
      <c r="W22" s="5">
        <f>V22/U22</f>
        <v>1.3970338983050848E-2</v>
      </c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</row>
    <row r="23" spans="1:37" x14ac:dyDescent="0.3">
      <c r="A23">
        <v>44</v>
      </c>
      <c r="B23" t="s">
        <v>50</v>
      </c>
      <c r="C23" s="8">
        <v>0</v>
      </c>
      <c r="D23" s="8">
        <v>1</v>
      </c>
      <c r="E23" s="2">
        <v>1</v>
      </c>
      <c r="F23" s="9">
        <v>577667</v>
      </c>
      <c r="G23" s="9">
        <v>259431</v>
      </c>
      <c r="H23" s="5">
        <f>G23-F23</f>
        <v>-318236</v>
      </c>
      <c r="I23" s="8">
        <v>-0.55089870115481765</v>
      </c>
      <c r="J23" s="5">
        <v>0.84199999999999997</v>
      </c>
      <c r="K23" s="5">
        <v>0.90100000000000002</v>
      </c>
      <c r="L23" s="4">
        <v>717700</v>
      </c>
      <c r="M23" s="8">
        <v>-4.2000000000000037E-2</v>
      </c>
      <c r="N23" s="4">
        <v>261301.2</v>
      </c>
      <c r="O23" s="13" t="s">
        <v>185</v>
      </c>
      <c r="P23" s="14" t="s">
        <v>186</v>
      </c>
      <c r="Q23" s="15" t="s">
        <v>187</v>
      </c>
      <c r="R23" s="16" t="s">
        <v>188</v>
      </c>
      <c r="S23" s="17">
        <f>P23-R23</f>
        <v>0.6905</v>
      </c>
      <c r="T23" s="12">
        <v>10.6</v>
      </c>
      <c r="U23" s="5">
        <v>2742000</v>
      </c>
      <c r="V23" s="4">
        <v>26184</v>
      </c>
      <c r="W23" s="5">
        <f>V23/U23</f>
        <v>9.5492341356673959E-3</v>
      </c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</row>
    <row r="24" spans="1:37" x14ac:dyDescent="0.3">
      <c r="A24">
        <v>45</v>
      </c>
      <c r="B24" t="s">
        <v>51</v>
      </c>
      <c r="C24" s="8">
        <v>0</v>
      </c>
      <c r="D24" s="8">
        <v>0</v>
      </c>
      <c r="E24" s="2">
        <v>0</v>
      </c>
      <c r="F24" s="9">
        <v>7107582</v>
      </c>
      <c r="G24" s="9">
        <v>7384532</v>
      </c>
      <c r="H24" s="5">
        <f>G24-F24</f>
        <v>276950</v>
      </c>
      <c r="I24" s="8">
        <v>3.8965431563082964E-2</v>
      </c>
      <c r="J24" s="5">
        <v>0.45500000000000002</v>
      </c>
      <c r="K24" s="5">
        <v>0.94</v>
      </c>
      <c r="L24" s="4">
        <v>212370</v>
      </c>
      <c r="M24" s="8">
        <v>1.8000000000000016E-2</v>
      </c>
      <c r="N24" s="4">
        <v>160461.79999999999</v>
      </c>
      <c r="O24" s="13" t="s">
        <v>189</v>
      </c>
      <c r="P24" s="14" t="s">
        <v>190</v>
      </c>
      <c r="Q24" s="15" t="s">
        <v>191</v>
      </c>
      <c r="R24" s="16" t="s">
        <v>192</v>
      </c>
      <c r="S24" s="17">
        <f>P24-R24</f>
        <v>0.39390000000000003</v>
      </c>
      <c r="T24" s="12">
        <v>12.4</v>
      </c>
      <c r="U24" s="5">
        <v>1319000</v>
      </c>
      <c r="V24" s="4">
        <v>17282</v>
      </c>
      <c r="W24" s="5">
        <f>V24/U24</f>
        <v>1.3102350265352539E-2</v>
      </c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</row>
    <row r="25" spans="1:37" x14ac:dyDescent="0.3">
      <c r="A25">
        <v>46</v>
      </c>
      <c r="B25" t="s">
        <v>52</v>
      </c>
      <c r="C25" s="8">
        <v>0</v>
      </c>
      <c r="D25" s="8">
        <v>0</v>
      </c>
      <c r="E25" s="2">
        <v>0</v>
      </c>
      <c r="F25" s="9">
        <v>2893416</v>
      </c>
      <c r="G25" s="9">
        <v>3083167</v>
      </c>
      <c r="H25" s="5">
        <f>G25-F25</f>
        <v>189751</v>
      </c>
      <c r="I25" s="8">
        <v>6.5580269135167457E-2</v>
      </c>
      <c r="J25" s="5">
        <v>0.46200000000000002</v>
      </c>
      <c r="K25" s="5">
        <v>0.91400000000000003</v>
      </c>
      <c r="L25" s="4">
        <v>131622</v>
      </c>
      <c r="M25" s="8">
        <v>4.0999999999999925E-2</v>
      </c>
      <c r="N25" s="4">
        <v>199326.8</v>
      </c>
      <c r="O25" s="13" t="s">
        <v>193</v>
      </c>
      <c r="P25" s="14" t="s">
        <v>194</v>
      </c>
      <c r="Q25" s="15" t="s">
        <v>195</v>
      </c>
      <c r="R25" s="16" t="s">
        <v>196</v>
      </c>
      <c r="S25" s="17">
        <f>P25-R25</f>
        <v>0.26760000000000006</v>
      </c>
      <c r="T25" s="12">
        <v>15.1</v>
      </c>
      <c r="U25" s="5">
        <v>659000</v>
      </c>
      <c r="V25" s="4">
        <v>10133</v>
      </c>
      <c r="W25" s="5">
        <f>V25/U25</f>
        <v>1.5376327769347496E-2</v>
      </c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</row>
    <row r="26" spans="1:37" x14ac:dyDescent="0.3">
      <c r="A26">
        <v>25</v>
      </c>
      <c r="B26" t="s">
        <v>31</v>
      </c>
      <c r="C26">
        <v>0</v>
      </c>
      <c r="D26">
        <v>1</v>
      </c>
      <c r="E26" s="2">
        <v>1</v>
      </c>
      <c r="F26" s="9">
        <v>4910474</v>
      </c>
      <c r="G26" s="9">
        <v>2847661</v>
      </c>
      <c r="H26" s="5">
        <f>G26-F26</f>
        <v>-2062813</v>
      </c>
      <c r="I26" s="8">
        <v>-0.42008429328818353</v>
      </c>
      <c r="J26" s="5">
        <v>0.61399999999999999</v>
      </c>
      <c r="K26" s="5">
        <v>0.82</v>
      </c>
      <c r="L26" s="4">
        <v>1438472</v>
      </c>
      <c r="M26" s="8">
        <v>3.7000000000000144E-2</v>
      </c>
      <c r="N26" s="4">
        <v>271035.40000000002</v>
      </c>
      <c r="O26" s="13" t="s">
        <v>197</v>
      </c>
      <c r="P26" s="14" t="s">
        <v>198</v>
      </c>
      <c r="Q26" s="15" t="s">
        <v>199</v>
      </c>
      <c r="R26" s="16" t="s">
        <v>200</v>
      </c>
      <c r="S26" s="17">
        <f>P26-R26</f>
        <v>0.4526</v>
      </c>
      <c r="T26" s="12">
        <v>11.2</v>
      </c>
      <c r="U26" s="5">
        <v>5330000</v>
      </c>
      <c r="V26" s="4">
        <v>45644</v>
      </c>
      <c r="W26" s="5">
        <f>V26/U26</f>
        <v>8.5636022514071295E-3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</row>
    <row r="27" spans="1:37" x14ac:dyDescent="0.3">
      <c r="A27">
        <v>26</v>
      </c>
      <c r="B27" t="s">
        <v>32</v>
      </c>
      <c r="C27">
        <v>0</v>
      </c>
      <c r="D27">
        <v>1</v>
      </c>
      <c r="E27" s="2">
        <v>1</v>
      </c>
      <c r="F27" s="9">
        <v>426961</v>
      </c>
      <c r="G27" s="9">
        <v>279961</v>
      </c>
      <c r="H27" s="5">
        <f>G27-F27</f>
        <v>-147000</v>
      </c>
      <c r="I27" s="8">
        <v>-0.34429374111452804</v>
      </c>
      <c r="J27" s="5">
        <v>1.5</v>
      </c>
      <c r="K27" s="5">
        <v>1.371</v>
      </c>
      <c r="L27" s="4">
        <v>1192648</v>
      </c>
      <c r="M27" s="8">
        <v>5.8000000000000052E-2</v>
      </c>
      <c r="N27" s="4">
        <v>419586.9</v>
      </c>
      <c r="O27" s="13" t="s">
        <v>201</v>
      </c>
      <c r="P27" s="14" t="s">
        <v>202</v>
      </c>
      <c r="Q27" s="15" t="s">
        <v>203</v>
      </c>
      <c r="R27" s="16" t="s">
        <v>204</v>
      </c>
      <c r="S27" s="17">
        <f>P27-R27</f>
        <v>0.42130000000000001</v>
      </c>
      <c r="T27" s="12">
        <v>15.6</v>
      </c>
      <c r="U27" s="5">
        <v>2847000</v>
      </c>
      <c r="V27" s="4">
        <v>39825</v>
      </c>
      <c r="W27" s="5">
        <f>V27/U27</f>
        <v>1.398840885142255E-2</v>
      </c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</row>
    <row r="28" spans="1:37" x14ac:dyDescent="0.3">
      <c r="A28">
        <v>47</v>
      </c>
      <c r="B28" t="s">
        <v>53</v>
      </c>
      <c r="C28">
        <v>0</v>
      </c>
      <c r="D28">
        <v>1</v>
      </c>
      <c r="E28" s="2">
        <v>1</v>
      </c>
      <c r="F28" s="9">
        <v>7055517</v>
      </c>
      <c r="G28" s="9">
        <v>7995195</v>
      </c>
      <c r="H28" s="5">
        <f>G28-F28</f>
        <v>939678</v>
      </c>
      <c r="I28" s="8">
        <v>0.13318343645121966</v>
      </c>
      <c r="J28" s="5">
        <v>0.41299999999999998</v>
      </c>
      <c r="K28" s="5">
        <v>0.98</v>
      </c>
      <c r="L28" s="4">
        <v>144842</v>
      </c>
      <c r="M28" s="8">
        <v>-4.0000000000000036E-2</v>
      </c>
      <c r="N28" s="4">
        <v>162559.5</v>
      </c>
      <c r="O28" s="13" t="s">
        <v>205</v>
      </c>
      <c r="P28" s="14" t="s">
        <v>206</v>
      </c>
      <c r="Q28" s="15" t="s">
        <v>207</v>
      </c>
      <c r="R28" s="16" t="s">
        <v>208</v>
      </c>
      <c r="S28" s="17">
        <f>P28-R28</f>
        <v>0.45990000000000003</v>
      </c>
      <c r="T28" s="12">
        <v>15.6</v>
      </c>
      <c r="U28" s="5">
        <v>886000</v>
      </c>
      <c r="V28" s="4">
        <v>13604</v>
      </c>
      <c r="W28" s="5">
        <f>V28/U28</f>
        <v>1.5354401805869075E-2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</row>
    <row r="29" spans="1:37" x14ac:dyDescent="0.3">
      <c r="A29">
        <v>48</v>
      </c>
      <c r="B29" t="s">
        <v>54</v>
      </c>
      <c r="C29">
        <v>0</v>
      </c>
      <c r="D29">
        <v>0</v>
      </c>
      <c r="E29" s="2">
        <v>0</v>
      </c>
      <c r="F29" s="9">
        <v>2709822</v>
      </c>
      <c r="G29" s="9">
        <v>1404739</v>
      </c>
      <c r="H29" s="5">
        <f>G29-F29</f>
        <v>-1305083</v>
      </c>
      <c r="I29" s="8">
        <v>-0.48161207636516346</v>
      </c>
      <c r="J29" s="5">
        <v>0.53100000000000003</v>
      </c>
      <c r="K29" s="5">
        <v>0.93100000000000005</v>
      </c>
      <c r="L29" s="4">
        <v>253831</v>
      </c>
      <c r="M29" s="8">
        <v>4.7000000000000153E-2</v>
      </c>
      <c r="N29" s="4">
        <v>226551.7</v>
      </c>
      <c r="O29" s="13" t="s">
        <v>209</v>
      </c>
      <c r="P29" s="14" t="s">
        <v>210</v>
      </c>
      <c r="Q29" s="15" t="s">
        <v>211</v>
      </c>
      <c r="R29" s="16" t="s">
        <v>212</v>
      </c>
      <c r="S29" s="17">
        <f>P29-R29</f>
        <v>0.40210000000000001</v>
      </c>
      <c r="T29" s="12">
        <v>8.1999999999999993</v>
      </c>
      <c r="U29" s="5">
        <v>1119000</v>
      </c>
      <c r="V29" s="4">
        <v>14500</v>
      </c>
      <c r="W29" s="5">
        <f>V29/U29</f>
        <v>1.2957998212689902E-2</v>
      </c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</row>
    <row r="30" spans="1:37" x14ac:dyDescent="0.3">
      <c r="A30">
        <v>49</v>
      </c>
      <c r="B30" t="s">
        <v>55</v>
      </c>
      <c r="C30">
        <v>0</v>
      </c>
      <c r="D30">
        <v>1</v>
      </c>
      <c r="E30" s="2">
        <v>1</v>
      </c>
      <c r="F30" s="9"/>
      <c r="G30" s="9"/>
      <c r="H30" s="5"/>
      <c r="J30" s="5">
        <v>0.90500000000000003</v>
      </c>
      <c r="K30" s="5">
        <v>0.876</v>
      </c>
      <c r="L30" s="4">
        <v>673916</v>
      </c>
      <c r="M30" s="8">
        <v>6.2000000000000055E-2</v>
      </c>
      <c r="N30" s="4">
        <v>386747.8</v>
      </c>
      <c r="O30" s="13" t="s">
        <v>213</v>
      </c>
      <c r="P30" s="14" t="s">
        <v>214</v>
      </c>
      <c r="Q30" s="15" t="s">
        <v>215</v>
      </c>
      <c r="R30" s="16" t="s">
        <v>216</v>
      </c>
      <c r="S30" s="17">
        <f>P30-R30</f>
        <v>0.47719999999999996</v>
      </c>
      <c r="T30" s="12">
        <v>11.9</v>
      </c>
      <c r="U30" s="5">
        <v>1751000</v>
      </c>
      <c r="V30" s="4">
        <v>16551</v>
      </c>
      <c r="W30" s="5">
        <f>V30/U30</f>
        <v>9.4523129640205605E-3</v>
      </c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</row>
    <row r="31" spans="1:37" x14ac:dyDescent="0.3">
      <c r="A31">
        <v>50</v>
      </c>
      <c r="B31" t="s">
        <v>56</v>
      </c>
      <c r="C31" s="8">
        <v>0</v>
      </c>
      <c r="D31" s="8">
        <v>0</v>
      </c>
      <c r="E31" s="2">
        <v>0</v>
      </c>
      <c r="F31" s="9">
        <v>159882</v>
      </c>
      <c r="G31" s="9">
        <v>305140</v>
      </c>
      <c r="H31" s="5">
        <f>G31-F31</f>
        <v>145258</v>
      </c>
      <c r="I31" s="8">
        <v>0.90853254275027839</v>
      </c>
      <c r="J31" s="5">
        <v>0.80700000000000005</v>
      </c>
      <c r="K31" s="5">
        <v>0.84599999999999997</v>
      </c>
      <c r="L31" s="4">
        <v>294863</v>
      </c>
      <c r="M31" s="8">
        <v>1.8000000000000016E-2</v>
      </c>
      <c r="N31" s="4">
        <v>253302.1</v>
      </c>
      <c r="O31" s="13" t="s">
        <v>217</v>
      </c>
      <c r="P31" s="14" t="s">
        <v>218</v>
      </c>
      <c r="Q31" s="15" t="s">
        <v>219</v>
      </c>
      <c r="R31" s="16" t="s">
        <v>220</v>
      </c>
      <c r="S31" s="17">
        <f>P31-R31</f>
        <v>0.39860000000000001</v>
      </c>
      <c r="T31" s="12">
        <v>8.4</v>
      </c>
      <c r="U31" s="5">
        <v>1162000</v>
      </c>
      <c r="V31" s="4">
        <v>13334</v>
      </c>
      <c r="W31" s="5">
        <f>V31/U31</f>
        <v>1.1475043029259897E-2</v>
      </c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</row>
    <row r="32" spans="1:37" x14ac:dyDescent="0.3">
      <c r="A32">
        <v>51</v>
      </c>
      <c r="B32" t="s">
        <v>57</v>
      </c>
      <c r="C32">
        <v>0</v>
      </c>
      <c r="D32">
        <v>0</v>
      </c>
      <c r="E32" s="2">
        <v>0</v>
      </c>
      <c r="F32" s="9">
        <v>7934574</v>
      </c>
      <c r="G32" s="9">
        <v>8264682</v>
      </c>
      <c r="H32" s="5">
        <f>G32-F32</f>
        <v>330108</v>
      </c>
      <c r="I32" s="8">
        <v>4.1603745834369876E-2</v>
      </c>
      <c r="J32" s="5">
        <v>1.74</v>
      </c>
      <c r="K32" s="5">
        <v>4.6390000000000002</v>
      </c>
      <c r="L32" s="4">
        <v>76875</v>
      </c>
      <c r="M32" s="8">
        <v>3.6000000000000032E-2</v>
      </c>
      <c r="N32" s="4">
        <v>501071.2</v>
      </c>
      <c r="O32" s="13" t="s">
        <v>221</v>
      </c>
      <c r="P32" s="14" t="s">
        <v>222</v>
      </c>
      <c r="Q32" s="15" t="s">
        <v>223</v>
      </c>
      <c r="R32" s="16" t="s">
        <v>176</v>
      </c>
      <c r="S32" s="17">
        <f>P32-R32</f>
        <v>0.3624</v>
      </c>
      <c r="T32" s="12">
        <v>11.3</v>
      </c>
      <c r="U32" s="5">
        <v>152000</v>
      </c>
      <c r="V32" s="4">
        <v>5544</v>
      </c>
      <c r="W32" s="5">
        <f>V32/U32</f>
        <v>3.6473684210526318E-2</v>
      </c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</row>
    <row r="33" spans="1:37" x14ac:dyDescent="0.3">
      <c r="A33">
        <v>52</v>
      </c>
      <c r="B33" t="s">
        <v>58</v>
      </c>
      <c r="C33">
        <v>1</v>
      </c>
      <c r="D33">
        <v>0</v>
      </c>
      <c r="E33" s="2">
        <v>1</v>
      </c>
      <c r="F33" s="9"/>
      <c r="G33" s="9"/>
      <c r="H33" s="5"/>
      <c r="J33" s="5">
        <v>0.91900000000000004</v>
      </c>
      <c r="K33" s="5">
        <v>0.89300000000000002</v>
      </c>
      <c r="L33" s="4">
        <v>2440283</v>
      </c>
      <c r="M33" s="8">
        <v>4.8000000000000043E-2</v>
      </c>
      <c r="N33" s="4">
        <v>348533.8</v>
      </c>
      <c r="O33" s="13" t="s">
        <v>224</v>
      </c>
      <c r="P33" s="14" t="s">
        <v>225</v>
      </c>
      <c r="Q33" s="15" t="s">
        <v>226</v>
      </c>
      <c r="R33" s="16" t="s">
        <v>227</v>
      </c>
      <c r="S33" s="17">
        <f>P33-R33</f>
        <v>0.37490000000000001</v>
      </c>
      <c r="T33" s="12">
        <v>6.9</v>
      </c>
      <c r="U33" s="5">
        <v>7048000</v>
      </c>
      <c r="V33" s="4">
        <v>58368</v>
      </c>
      <c r="W33" s="5">
        <f>V33/U33</f>
        <v>8.2814982973893302E-3</v>
      </c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</row>
    <row r="34" spans="1:37" x14ac:dyDescent="0.3">
      <c r="A34">
        <v>53</v>
      </c>
      <c r="B34" t="s">
        <v>59</v>
      </c>
      <c r="C34">
        <v>0</v>
      </c>
      <c r="D34">
        <v>0</v>
      </c>
      <c r="E34" s="2">
        <v>0</v>
      </c>
      <c r="F34" s="9">
        <v>1106062</v>
      </c>
      <c r="G34" s="9">
        <v>589092</v>
      </c>
      <c r="H34" s="5">
        <f>G34-F34</f>
        <v>-516970</v>
      </c>
      <c r="I34" s="8">
        <v>-0.46739694519837038</v>
      </c>
      <c r="J34" s="5">
        <v>1.3</v>
      </c>
      <c r="K34" s="5">
        <v>1.589</v>
      </c>
      <c r="L34" s="4">
        <v>280326</v>
      </c>
      <c r="M34" s="8">
        <v>5.0000000000001155E-3</v>
      </c>
      <c r="N34" s="4">
        <v>357478.8</v>
      </c>
      <c r="O34" s="13" t="s">
        <v>228</v>
      </c>
      <c r="P34" s="14" t="s">
        <v>229</v>
      </c>
      <c r="Q34" s="15" t="s">
        <v>230</v>
      </c>
      <c r="R34" s="16" t="s">
        <v>231</v>
      </c>
      <c r="S34" s="17">
        <f>P34-R34</f>
        <v>0.4405</v>
      </c>
      <c r="T34" s="12">
        <v>11.1</v>
      </c>
      <c r="U34" s="5">
        <v>780000</v>
      </c>
      <c r="V34" s="4">
        <v>10796</v>
      </c>
      <c r="W34" s="5">
        <f>V34/U34</f>
        <v>1.384102564102564E-2</v>
      </c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</row>
    <row r="35" spans="1:37" x14ac:dyDescent="0.3">
      <c r="A35">
        <v>54</v>
      </c>
      <c r="B35" t="s">
        <v>60</v>
      </c>
      <c r="C35">
        <v>0</v>
      </c>
      <c r="D35">
        <v>0</v>
      </c>
      <c r="E35" s="2">
        <v>0</v>
      </c>
      <c r="F35" s="9">
        <v>1944123</v>
      </c>
      <c r="G35" s="9">
        <v>1094516</v>
      </c>
      <c r="H35" s="5">
        <f>G35-F35</f>
        <v>-849607</v>
      </c>
      <c r="I35" s="8">
        <v>-0.43701298734699401</v>
      </c>
      <c r="J35" s="5">
        <v>0.71899999999999997</v>
      </c>
      <c r="K35" s="5">
        <v>0.873</v>
      </c>
      <c r="L35" s="4">
        <v>838599</v>
      </c>
      <c r="M35" s="8">
        <v>3.8000000000000034E-2</v>
      </c>
      <c r="N35" s="4">
        <v>254630.6</v>
      </c>
      <c r="O35" s="13" t="s">
        <v>232</v>
      </c>
      <c r="P35" s="14" t="s">
        <v>233</v>
      </c>
      <c r="Q35" s="15" t="s">
        <v>234</v>
      </c>
      <c r="R35" s="16" t="s">
        <v>235</v>
      </c>
      <c r="S35" s="17">
        <f>P35-R35</f>
        <v>0.44850000000000001</v>
      </c>
      <c r="T35" s="12">
        <v>10.3</v>
      </c>
      <c r="U35" s="5">
        <v>3290000</v>
      </c>
      <c r="V35" s="4">
        <v>33183</v>
      </c>
      <c r="W35" s="5">
        <f>V35/U35</f>
        <v>1.0086018237082066E-2</v>
      </c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</row>
    <row r="36" spans="1:37" x14ac:dyDescent="0.3">
      <c r="A36">
        <v>55</v>
      </c>
      <c r="B36" t="s">
        <v>61</v>
      </c>
      <c r="C36">
        <v>0</v>
      </c>
      <c r="D36">
        <v>1</v>
      </c>
      <c r="E36" s="2">
        <v>1</v>
      </c>
      <c r="F36" s="9">
        <v>471507</v>
      </c>
      <c r="G36" s="9">
        <v>358171</v>
      </c>
      <c r="H36" s="5">
        <f>G36-F36</f>
        <v>-113336</v>
      </c>
      <c r="I36" s="8">
        <v>-0.2403697081909707</v>
      </c>
      <c r="J36" s="5">
        <v>0.81299999999999994</v>
      </c>
      <c r="K36" s="5">
        <v>0.97099999999999997</v>
      </c>
      <c r="L36" s="4">
        <v>172315</v>
      </c>
      <c r="M36" s="8">
        <v>8.4000000000000075E-2</v>
      </c>
      <c r="N36" s="4">
        <v>274474.3</v>
      </c>
      <c r="O36" s="13" t="s">
        <v>236</v>
      </c>
      <c r="P36" s="14" t="s">
        <v>237</v>
      </c>
      <c r="Q36" s="15" t="s">
        <v>238</v>
      </c>
      <c r="R36" s="16" t="s">
        <v>239</v>
      </c>
      <c r="S36" s="17">
        <f>P36-R36</f>
        <v>0.40209999999999996</v>
      </c>
      <c r="T36" s="12">
        <v>11.7</v>
      </c>
      <c r="U36" s="5">
        <v>626000</v>
      </c>
      <c r="V36" s="4">
        <v>9387</v>
      </c>
      <c r="W36" s="5">
        <f>V36/U36</f>
        <v>1.4995207667731629E-2</v>
      </c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</row>
    <row r="37" spans="1:37" x14ac:dyDescent="0.3">
      <c r="A37">
        <v>56</v>
      </c>
      <c r="B37" t="s">
        <v>62</v>
      </c>
      <c r="C37">
        <v>0</v>
      </c>
      <c r="D37">
        <v>0</v>
      </c>
      <c r="E37" s="2">
        <v>0</v>
      </c>
      <c r="F37" s="9">
        <v>3049939</v>
      </c>
      <c r="G37" s="9">
        <v>1606057</v>
      </c>
      <c r="H37" s="5">
        <f>G37-F37</f>
        <v>-1443882</v>
      </c>
      <c r="I37" s="8">
        <v>-0.47341340269428345</v>
      </c>
      <c r="J37" s="5">
        <v>0.68899999999999995</v>
      </c>
      <c r="K37" s="5">
        <v>0.96799999999999997</v>
      </c>
      <c r="L37" s="4">
        <v>659544</v>
      </c>
      <c r="M37" s="8">
        <v>1.5000000000000124E-2</v>
      </c>
      <c r="N37" s="4">
        <v>244441.8</v>
      </c>
      <c r="O37" s="13" t="s">
        <v>240</v>
      </c>
      <c r="P37" s="14" t="s">
        <v>241</v>
      </c>
      <c r="Q37" s="15" t="s">
        <v>242</v>
      </c>
      <c r="R37" s="16" t="s">
        <v>243</v>
      </c>
      <c r="S37" s="17">
        <f>P37-R37</f>
        <v>0.33810000000000001</v>
      </c>
      <c r="T37" s="12">
        <v>14.1</v>
      </c>
      <c r="U37" s="5">
        <v>2710000</v>
      </c>
      <c r="V37" s="4">
        <v>29109</v>
      </c>
      <c r="W37" s="5">
        <f>V37/U37</f>
        <v>1.0741328413284132E-2</v>
      </c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</row>
    <row r="38" spans="1:37" x14ac:dyDescent="0.3">
      <c r="A38">
        <v>57</v>
      </c>
      <c r="B38" t="s">
        <v>63</v>
      </c>
      <c r="C38">
        <v>0</v>
      </c>
      <c r="D38">
        <v>0</v>
      </c>
      <c r="E38" s="2">
        <v>0</v>
      </c>
      <c r="F38" s="9">
        <v>2351859</v>
      </c>
      <c r="G38" s="9">
        <v>1311049</v>
      </c>
      <c r="H38" s="5">
        <f>G38-F38</f>
        <v>-1040810</v>
      </c>
      <c r="I38" s="8">
        <v>-0.44254778879176004</v>
      </c>
      <c r="J38" s="5">
        <v>0.60899999999999999</v>
      </c>
      <c r="K38" s="5">
        <v>0.89300000000000002</v>
      </c>
      <c r="L38" s="4">
        <v>498523</v>
      </c>
      <c r="M38" s="8">
        <v>1.8000000000000016E-2</v>
      </c>
      <c r="N38" s="4">
        <v>252493</v>
      </c>
      <c r="O38" s="13" t="s">
        <v>244</v>
      </c>
      <c r="P38" s="14" t="s">
        <v>245</v>
      </c>
      <c r="Q38" s="15" t="s">
        <v>246</v>
      </c>
      <c r="R38" s="16" t="s">
        <v>247</v>
      </c>
      <c r="S38" s="17">
        <f>P38-R38</f>
        <v>0.31540000000000001</v>
      </c>
      <c r="T38" s="12">
        <v>11</v>
      </c>
      <c r="U38" s="5">
        <v>1974000</v>
      </c>
      <c r="V38" s="4">
        <v>20467</v>
      </c>
      <c r="W38" s="5">
        <f>V38/U38</f>
        <v>1.0368287740628167E-2</v>
      </c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</row>
    <row r="39" spans="1:37" x14ac:dyDescent="0.3">
      <c r="A39">
        <v>58</v>
      </c>
      <c r="B39" t="s">
        <v>64</v>
      </c>
      <c r="C39">
        <v>0</v>
      </c>
      <c r="D39">
        <v>0</v>
      </c>
      <c r="E39" s="2">
        <v>0</v>
      </c>
      <c r="F39" s="9">
        <v>960981</v>
      </c>
      <c r="G39" s="9">
        <v>583772</v>
      </c>
      <c r="H39" s="5">
        <f>G39-F39</f>
        <v>-377209</v>
      </c>
      <c r="I39" s="8">
        <v>-0.39252493025356383</v>
      </c>
      <c r="J39" s="5">
        <v>0.89500000000000002</v>
      </c>
      <c r="K39" s="5">
        <v>0.9</v>
      </c>
      <c r="L39" s="4">
        <v>629370</v>
      </c>
      <c r="M39" s="8">
        <v>2.4999999999999911E-2</v>
      </c>
      <c r="N39" s="4">
        <v>311588.5</v>
      </c>
      <c r="O39" s="13" t="s">
        <v>248</v>
      </c>
      <c r="P39" s="14" t="s">
        <v>249</v>
      </c>
      <c r="Q39" s="15" t="s">
        <v>250</v>
      </c>
      <c r="R39" s="16" t="s">
        <v>251</v>
      </c>
      <c r="S39" s="17">
        <f>P39-R39</f>
        <v>0.31969999999999998</v>
      </c>
      <c r="T39" s="12">
        <v>12.7</v>
      </c>
      <c r="U39" s="5">
        <v>2016000</v>
      </c>
      <c r="V39" s="4">
        <v>22334</v>
      </c>
      <c r="W39" s="5">
        <f>V39/U39</f>
        <v>1.1078373015873015E-2</v>
      </c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</row>
    <row r="40" spans="1:37" x14ac:dyDescent="0.3">
      <c r="A40">
        <v>59</v>
      </c>
      <c r="B40" t="s">
        <v>65</v>
      </c>
      <c r="C40">
        <v>0</v>
      </c>
      <c r="D40">
        <v>0</v>
      </c>
      <c r="E40" s="2">
        <v>0</v>
      </c>
      <c r="F40" s="9">
        <v>4047330</v>
      </c>
      <c r="G40" s="9">
        <v>4035843</v>
      </c>
      <c r="H40" s="5">
        <f>G40-F40</f>
        <v>-11487</v>
      </c>
      <c r="I40" s="8">
        <v>-2.8381673844237731E-3</v>
      </c>
      <c r="J40" s="5">
        <v>0.442</v>
      </c>
      <c r="K40" s="5">
        <v>0.91200000000000003</v>
      </c>
      <c r="L40" s="4">
        <v>146140</v>
      </c>
      <c r="M40" s="8">
        <v>3.9000000000000146E-2</v>
      </c>
      <c r="N40" s="4">
        <v>187706.4</v>
      </c>
      <c r="O40" s="13" t="s">
        <v>252</v>
      </c>
      <c r="P40" s="14" t="s">
        <v>253</v>
      </c>
      <c r="Q40" s="15" t="s">
        <v>254</v>
      </c>
      <c r="R40" s="16" t="s">
        <v>255</v>
      </c>
      <c r="S40" s="17">
        <f>P40-R40</f>
        <v>0.23749999999999999</v>
      </c>
      <c r="T40" s="12">
        <v>11.3</v>
      </c>
      <c r="U40" s="5">
        <v>776000</v>
      </c>
      <c r="V40" s="4">
        <v>10945</v>
      </c>
      <c r="W40" s="5">
        <f>V40/U40</f>
        <v>1.410438144329897E-2</v>
      </c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</row>
    <row r="41" spans="1:37" x14ac:dyDescent="0.3">
      <c r="A41">
        <v>60</v>
      </c>
      <c r="B41" t="s">
        <v>66</v>
      </c>
      <c r="C41" s="8">
        <v>0</v>
      </c>
      <c r="D41" s="8">
        <v>0</v>
      </c>
      <c r="E41" s="2">
        <v>0</v>
      </c>
      <c r="F41" s="9">
        <v>6067032</v>
      </c>
      <c r="G41" s="9">
        <v>6807136</v>
      </c>
      <c r="H41" s="5">
        <f>G41-F41</f>
        <v>740104</v>
      </c>
      <c r="I41" s="8">
        <v>0.12198781875552989</v>
      </c>
      <c r="J41" s="5">
        <v>0.41699999999999998</v>
      </c>
      <c r="K41" s="5">
        <v>0.84599999999999997</v>
      </c>
      <c r="L41" s="7">
        <v>240335</v>
      </c>
      <c r="M41" s="8">
        <v>6.6999999999999948E-2</v>
      </c>
      <c r="N41" s="4">
        <v>175094.9</v>
      </c>
      <c r="O41" s="13" t="s">
        <v>256</v>
      </c>
      <c r="P41" s="14" t="s">
        <v>257</v>
      </c>
      <c r="Q41" s="15" t="s">
        <v>258</v>
      </c>
      <c r="R41" s="16" t="s">
        <v>259</v>
      </c>
      <c r="S41" s="17">
        <f>P41-R41</f>
        <v>0.44570000000000004</v>
      </c>
      <c r="T41" s="12">
        <v>13.1</v>
      </c>
      <c r="U41" s="5">
        <v>1369000</v>
      </c>
      <c r="V41" s="4">
        <v>14796</v>
      </c>
      <c r="W41" s="5">
        <f>V41/U41</f>
        <v>1.0807888970051133E-2</v>
      </c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</row>
    <row r="42" spans="1:37" ht="15" thickBot="1" x14ac:dyDescent="0.35">
      <c r="A42">
        <v>27</v>
      </c>
      <c r="B42" t="s">
        <v>33</v>
      </c>
      <c r="C42" s="8">
        <v>0</v>
      </c>
      <c r="D42" s="8">
        <v>0</v>
      </c>
      <c r="E42" s="2">
        <v>0</v>
      </c>
      <c r="F42" s="9">
        <v>6123</v>
      </c>
      <c r="G42" s="9">
        <v>10002</v>
      </c>
      <c r="H42" s="5">
        <f>G42-F42</f>
        <v>3879</v>
      </c>
      <c r="I42" s="8">
        <v>0.63351298383145527</v>
      </c>
      <c r="J42" s="5">
        <v>0.96699999999999997</v>
      </c>
      <c r="K42" s="5">
        <v>0.96699999999999997</v>
      </c>
      <c r="L42" s="6">
        <v>897598</v>
      </c>
      <c r="M42" s="8">
        <v>6.0000000000000053E-3</v>
      </c>
      <c r="N42" s="4">
        <v>340933.2</v>
      </c>
      <c r="O42" s="13" t="s">
        <v>260</v>
      </c>
      <c r="P42" s="14" t="s">
        <v>261</v>
      </c>
      <c r="Q42" s="15" t="s">
        <v>262</v>
      </c>
      <c r="R42" s="16" t="s">
        <v>263</v>
      </c>
      <c r="S42" s="17">
        <f>P42-R42</f>
        <v>0.47159999999999996</v>
      </c>
      <c r="T42" s="12">
        <v>12.2</v>
      </c>
      <c r="U42" s="5">
        <v>2634000</v>
      </c>
      <c r="V42" s="4">
        <v>28847</v>
      </c>
      <c r="W42" s="5">
        <f>V42/U42</f>
        <v>1.095178435839028E-2</v>
      </c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</row>
    <row r="43" spans="1:37" x14ac:dyDescent="0.3">
      <c r="A43">
        <v>28</v>
      </c>
      <c r="B43" t="s">
        <v>34</v>
      </c>
      <c r="C43" s="8">
        <v>0</v>
      </c>
      <c r="D43" s="8">
        <v>1</v>
      </c>
      <c r="E43" s="2">
        <v>1</v>
      </c>
      <c r="F43" s="9">
        <v>6935285</v>
      </c>
      <c r="G43" s="9">
        <v>6658821</v>
      </c>
      <c r="H43" s="5">
        <f>G43-F43</f>
        <v>-276464</v>
      </c>
      <c r="I43" s="8">
        <v>-3.9863394222443671E-2</v>
      </c>
      <c r="J43" s="5">
        <v>0.66600000000000004</v>
      </c>
      <c r="K43" s="5">
        <v>1.1839999999999999</v>
      </c>
      <c r="L43" s="4">
        <v>555018</v>
      </c>
      <c r="M43" s="8">
        <v>-6.9000000000000061E-2</v>
      </c>
      <c r="N43" s="4">
        <v>284789.3</v>
      </c>
      <c r="O43" s="13" t="s">
        <v>264</v>
      </c>
      <c r="P43" s="14" t="s">
        <v>265</v>
      </c>
      <c r="Q43" s="15" t="s">
        <v>266</v>
      </c>
      <c r="R43" s="16" t="s">
        <v>267</v>
      </c>
      <c r="S43" s="17">
        <f>P43-R43</f>
        <v>0.36950000000000005</v>
      </c>
      <c r="T43" s="12">
        <v>14.2</v>
      </c>
      <c r="U43" s="5">
        <v>1947000</v>
      </c>
      <c r="V43" s="4">
        <v>22862</v>
      </c>
      <c r="W43" s="5">
        <f>V43/U43</f>
        <v>1.1742167437082691E-2</v>
      </c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</row>
    <row r="44" spans="1:37" x14ac:dyDescent="0.3">
      <c r="A44">
        <v>61</v>
      </c>
      <c r="B44" t="s">
        <v>67</v>
      </c>
      <c r="C44" s="8">
        <v>0</v>
      </c>
      <c r="D44" s="8">
        <v>1</v>
      </c>
      <c r="E44" s="2">
        <v>1</v>
      </c>
      <c r="F44" s="9">
        <v>4100423</v>
      </c>
      <c r="G44" s="9">
        <v>4128243</v>
      </c>
      <c r="H44" s="5">
        <f>G44-F44</f>
        <v>27820</v>
      </c>
      <c r="I44" s="8">
        <v>6.7846658747159339E-3</v>
      </c>
      <c r="J44" s="5">
        <v>0.45800000000000002</v>
      </c>
      <c r="K44" s="5">
        <v>0.98</v>
      </c>
      <c r="L44" s="4">
        <v>108191</v>
      </c>
      <c r="M44" s="8">
        <v>9.9999999999988987E-4</v>
      </c>
      <c r="N44" s="4">
        <v>162885.79999999999</v>
      </c>
      <c r="O44" s="13" t="s">
        <v>268</v>
      </c>
      <c r="P44" s="14" t="s">
        <v>269</v>
      </c>
      <c r="Q44" s="15" t="s">
        <v>270</v>
      </c>
      <c r="R44" s="16" t="s">
        <v>271</v>
      </c>
      <c r="S44" s="17">
        <f>P44-R44</f>
        <v>0.39049999999999996</v>
      </c>
      <c r="T44" s="12">
        <v>15.4</v>
      </c>
      <c r="U44" s="5">
        <v>662000</v>
      </c>
      <c r="V44" s="4">
        <v>11619</v>
      </c>
      <c r="W44" s="5">
        <f>V44/U44</f>
        <v>1.7551359516616315E-2</v>
      </c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</row>
    <row r="45" spans="1:37" x14ac:dyDescent="0.3">
      <c r="A45">
        <v>1</v>
      </c>
      <c r="B45" t="s">
        <v>7</v>
      </c>
      <c r="C45">
        <v>0</v>
      </c>
      <c r="D45">
        <v>0</v>
      </c>
      <c r="E45" s="8" t="s">
        <v>417</v>
      </c>
      <c r="F45" s="9">
        <v>3318029</v>
      </c>
      <c r="G45" s="9">
        <v>3971511</v>
      </c>
      <c r="H45" s="5">
        <f>G45-F45</f>
        <v>653482</v>
      </c>
      <c r="I45" s="8">
        <v>0.19694885126079376</v>
      </c>
      <c r="J45" s="5">
        <v>0.32100000000000001</v>
      </c>
      <c r="K45" s="5">
        <v>0.82499999999999996</v>
      </c>
      <c r="L45" s="4">
        <v>65236</v>
      </c>
      <c r="M45" s="8">
        <v>5.9000000000000163E-2</v>
      </c>
      <c r="N45" s="4">
        <v>147117.4</v>
      </c>
      <c r="O45" s="13" t="s">
        <v>272</v>
      </c>
      <c r="P45" s="14" t="s">
        <v>273</v>
      </c>
      <c r="Q45" s="15" t="s">
        <v>274</v>
      </c>
      <c r="R45" s="16" t="s">
        <v>275</v>
      </c>
      <c r="S45" s="17">
        <f>P45-R45</f>
        <v>0.43520000000000003</v>
      </c>
      <c r="T45" s="12">
        <v>11.3</v>
      </c>
      <c r="U45" s="5">
        <v>445000</v>
      </c>
      <c r="V45" s="4">
        <v>5443</v>
      </c>
      <c r="W45" s="5">
        <f>V45/U45</f>
        <v>1.2231460674157304E-2</v>
      </c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</row>
    <row r="46" spans="1:37" x14ac:dyDescent="0.3">
      <c r="A46">
        <v>2</v>
      </c>
      <c r="B46" t="s">
        <v>8</v>
      </c>
      <c r="C46">
        <v>0</v>
      </c>
      <c r="D46">
        <v>0</v>
      </c>
      <c r="E46" s="8">
        <v>0</v>
      </c>
      <c r="F46" s="9">
        <v>6308861</v>
      </c>
      <c r="G46" s="9">
        <v>7253704</v>
      </c>
      <c r="H46" s="5">
        <f>G46-F46</f>
        <v>944843</v>
      </c>
      <c r="I46" s="8">
        <v>0.1497644344993494</v>
      </c>
      <c r="J46" s="5">
        <v>0.35499999999999998</v>
      </c>
      <c r="K46" s="5">
        <v>1.87</v>
      </c>
      <c r="L46" s="4">
        <v>29616</v>
      </c>
      <c r="M46" s="8">
        <v>-1.2000000000000011E-2</v>
      </c>
      <c r="N46" s="4">
        <v>141442.4</v>
      </c>
      <c r="O46" s="13" t="s">
        <v>276</v>
      </c>
      <c r="P46" s="14" t="s">
        <v>277</v>
      </c>
      <c r="Q46" s="15" t="s">
        <v>278</v>
      </c>
      <c r="R46" s="16" t="s">
        <v>279</v>
      </c>
      <c r="S46" s="17">
        <f>P46-R46</f>
        <v>0.49949999999999994</v>
      </c>
      <c r="T46" s="12">
        <v>18.5</v>
      </c>
      <c r="U46" s="5">
        <v>210000</v>
      </c>
      <c r="V46" s="4">
        <v>5302</v>
      </c>
      <c r="W46" s="5">
        <f>V46/U46</f>
        <v>2.5247619047619047E-2</v>
      </c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</row>
    <row r="47" spans="1:37" x14ac:dyDescent="0.3">
      <c r="A47">
        <v>3</v>
      </c>
      <c r="B47" t="s">
        <v>9</v>
      </c>
      <c r="C47">
        <v>0</v>
      </c>
      <c r="D47">
        <v>1</v>
      </c>
      <c r="E47" s="8">
        <v>1</v>
      </c>
      <c r="F47" s="9">
        <v>4200499</v>
      </c>
      <c r="G47" s="9">
        <v>2306324</v>
      </c>
      <c r="H47" s="5">
        <f>G47-F47</f>
        <v>-1894175</v>
      </c>
      <c r="I47" s="8">
        <v>-0.45094047159635087</v>
      </c>
      <c r="J47" s="5">
        <v>0.71199999999999997</v>
      </c>
      <c r="K47" s="5">
        <v>0.92</v>
      </c>
      <c r="L47" s="4">
        <v>1154056</v>
      </c>
      <c r="M47" s="8">
        <v>4.4000000000000039E-2</v>
      </c>
      <c r="N47" s="4">
        <v>284068.3</v>
      </c>
      <c r="O47" s="13" t="s">
        <v>280</v>
      </c>
      <c r="P47" s="14" t="s">
        <v>281</v>
      </c>
      <c r="Q47" s="15" t="s">
        <v>282</v>
      </c>
      <c r="R47" s="16" t="s">
        <v>216</v>
      </c>
      <c r="S47" s="17">
        <f>P47-R47</f>
        <v>0.61099999999999999</v>
      </c>
      <c r="T47" s="12">
        <v>10.3</v>
      </c>
      <c r="U47" s="5">
        <v>4061000</v>
      </c>
      <c r="V47" s="4">
        <v>33904</v>
      </c>
      <c r="W47" s="5">
        <f>V47/U47</f>
        <v>8.3486825904949512E-3</v>
      </c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</row>
    <row r="48" spans="1:37" x14ac:dyDescent="0.3">
      <c r="A48">
        <v>4</v>
      </c>
      <c r="B48" t="s">
        <v>10</v>
      </c>
      <c r="C48">
        <v>1</v>
      </c>
      <c r="D48">
        <v>0</v>
      </c>
      <c r="E48" s="8">
        <v>1</v>
      </c>
      <c r="F48" s="9">
        <v>13063464</v>
      </c>
      <c r="G48" s="9">
        <v>13651455</v>
      </c>
      <c r="H48" s="5">
        <f>G48-F48</f>
        <v>587991</v>
      </c>
      <c r="I48" s="8">
        <v>4.5010343351503002E-2</v>
      </c>
      <c r="J48" s="5">
        <v>0.51200000000000001</v>
      </c>
      <c r="K48" s="5">
        <v>1.399</v>
      </c>
      <c r="L48" s="4">
        <v>167038</v>
      </c>
      <c r="M48" s="8">
        <v>5.0000000000001155E-3</v>
      </c>
      <c r="N48" s="4">
        <v>171920.4</v>
      </c>
      <c r="O48" s="13" t="s">
        <v>283</v>
      </c>
      <c r="P48" s="14" t="s">
        <v>284</v>
      </c>
      <c r="Q48" s="15" t="s">
        <v>285</v>
      </c>
      <c r="R48" s="16" t="s">
        <v>286</v>
      </c>
      <c r="S48" s="17">
        <f>P48-R48</f>
        <v>0.48160000000000003</v>
      </c>
      <c r="T48" s="12">
        <v>17.7</v>
      </c>
      <c r="U48" s="5">
        <v>972000</v>
      </c>
      <c r="V48" s="4">
        <v>12305</v>
      </c>
      <c r="W48" s="5">
        <f>V48/U48</f>
        <v>1.2659465020576131E-2</v>
      </c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</row>
    <row r="49" spans="1:37" x14ac:dyDescent="0.3">
      <c r="A49">
        <v>5</v>
      </c>
      <c r="B49" t="s">
        <v>11</v>
      </c>
      <c r="C49">
        <v>0</v>
      </c>
      <c r="D49">
        <v>0</v>
      </c>
      <c r="E49" s="8">
        <v>0</v>
      </c>
      <c r="F49" s="9">
        <v>36855712</v>
      </c>
      <c r="G49" s="9">
        <v>43157559</v>
      </c>
      <c r="H49" s="5">
        <f>G49-F49</f>
        <v>6301847</v>
      </c>
      <c r="I49" s="8">
        <v>0.17098698296752479</v>
      </c>
      <c r="J49" s="5">
        <v>0.185</v>
      </c>
      <c r="K49" s="5">
        <v>0.83699999999999997</v>
      </c>
      <c r="L49" s="4">
        <v>377975</v>
      </c>
      <c r="M49" s="8">
        <v>4.6000000000000041E-2</v>
      </c>
      <c r="N49" s="4">
        <v>128639.7</v>
      </c>
      <c r="O49" s="13" t="s">
        <v>287</v>
      </c>
      <c r="P49" s="14" t="s">
        <v>288</v>
      </c>
      <c r="Q49" s="15" t="s">
        <v>289</v>
      </c>
      <c r="R49" s="16" t="s">
        <v>290</v>
      </c>
      <c r="S49" s="17">
        <f>P49-R49</f>
        <v>0.86899999999999999</v>
      </c>
      <c r="T49" s="12">
        <v>7</v>
      </c>
      <c r="U49" s="5">
        <v>2946000</v>
      </c>
      <c r="V49" s="4">
        <v>23214</v>
      </c>
      <c r="W49" s="5">
        <f>V49/U49</f>
        <v>7.8798370672097766E-3</v>
      </c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</row>
    <row r="50" spans="1:37" x14ac:dyDescent="0.3">
      <c r="A50">
        <v>6</v>
      </c>
      <c r="B50" t="s">
        <v>12</v>
      </c>
      <c r="C50">
        <v>0</v>
      </c>
      <c r="D50">
        <v>0</v>
      </c>
      <c r="E50" s="8">
        <v>0</v>
      </c>
      <c r="F50" s="9">
        <v>7261899</v>
      </c>
      <c r="G50" s="9">
        <v>7875526</v>
      </c>
      <c r="H50" s="5">
        <f>G50-F50</f>
        <v>613627</v>
      </c>
      <c r="I50" s="8">
        <v>8.4499522783227921E-2</v>
      </c>
      <c r="J50" s="5">
        <v>0.11899999999999999</v>
      </c>
      <c r="K50" s="5">
        <v>0.77200000000000002</v>
      </c>
      <c r="L50" s="4">
        <v>36888</v>
      </c>
      <c r="M50" s="8">
        <v>0.15300000000000002</v>
      </c>
      <c r="N50" s="4">
        <v>84532.9</v>
      </c>
      <c r="O50" s="13" t="s">
        <v>291</v>
      </c>
      <c r="P50" s="14" t="s">
        <v>292</v>
      </c>
      <c r="Q50" s="15" t="s">
        <v>293</v>
      </c>
      <c r="R50" s="16" t="s">
        <v>294</v>
      </c>
      <c r="S50" s="17">
        <f>P50-R50</f>
        <v>0.87460000000000004</v>
      </c>
      <c r="T50" s="12">
        <v>17.100000000000001</v>
      </c>
      <c r="U50" s="5">
        <v>442000</v>
      </c>
      <c r="V50" s="4">
        <v>5276</v>
      </c>
      <c r="W50" s="5">
        <f>V50/U50</f>
        <v>1.1936651583710408E-2</v>
      </c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</row>
    <row r="51" spans="1:37" x14ac:dyDescent="0.3">
      <c r="A51">
        <v>8</v>
      </c>
      <c r="B51" t="s">
        <v>14</v>
      </c>
      <c r="C51">
        <v>1</v>
      </c>
      <c r="D51">
        <v>0</v>
      </c>
      <c r="E51" s="2">
        <v>1</v>
      </c>
      <c r="F51" s="9">
        <v>2438349</v>
      </c>
      <c r="G51" s="9">
        <v>2938879</v>
      </c>
      <c r="H51" s="5">
        <f>G51-F51</f>
        <v>500530</v>
      </c>
      <c r="I51" s="8">
        <v>0.2052741424627893</v>
      </c>
      <c r="J51" s="5">
        <v>0.29699999999999999</v>
      </c>
      <c r="K51" s="5">
        <v>0.83899999999999997</v>
      </c>
      <c r="L51" s="4">
        <v>34017</v>
      </c>
      <c r="M51" s="8">
        <v>0</v>
      </c>
      <c r="N51" s="4">
        <v>119182.5</v>
      </c>
      <c r="O51" s="13" t="s">
        <v>295</v>
      </c>
      <c r="P51" s="14" t="s">
        <v>296</v>
      </c>
      <c r="Q51" s="15" t="s">
        <v>297</v>
      </c>
      <c r="R51" s="16" t="s">
        <v>298</v>
      </c>
      <c r="S51" s="17">
        <f>P51-R51</f>
        <v>0.52789999999999992</v>
      </c>
      <c r="T51" s="12">
        <v>30.7</v>
      </c>
      <c r="U51" s="5">
        <v>284000</v>
      </c>
      <c r="V51" s="4">
        <v>6171</v>
      </c>
      <c r="W51" s="5">
        <f>V51/U51</f>
        <v>2.1728873239436619E-2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</row>
    <row r="52" spans="1:37" x14ac:dyDescent="0.3">
      <c r="A52">
        <v>10</v>
      </c>
      <c r="B52" t="s">
        <v>16</v>
      </c>
      <c r="C52">
        <v>0</v>
      </c>
      <c r="D52">
        <v>0</v>
      </c>
      <c r="E52" s="2">
        <v>0</v>
      </c>
      <c r="F52" s="9">
        <v>3050487</v>
      </c>
      <c r="G52" s="9">
        <v>1941157</v>
      </c>
      <c r="H52" s="5">
        <f>G52-F52</f>
        <v>-1109330</v>
      </c>
      <c r="I52" s="8">
        <v>-0.36365668825994013</v>
      </c>
      <c r="J52" s="5">
        <v>0.72199999999999998</v>
      </c>
      <c r="K52" s="5">
        <v>1.3360000000000001</v>
      </c>
      <c r="L52" s="4">
        <v>162003</v>
      </c>
      <c r="M52" s="8">
        <v>1.5000000000000124E-2</v>
      </c>
      <c r="N52" s="4">
        <v>253800.8</v>
      </c>
      <c r="O52" s="13" t="s">
        <v>299</v>
      </c>
      <c r="P52" s="14" t="s">
        <v>300</v>
      </c>
      <c r="Q52" s="15" t="s">
        <v>301</v>
      </c>
      <c r="R52" s="16" t="s">
        <v>302</v>
      </c>
      <c r="S52" s="17">
        <f>P52-R52</f>
        <v>0.38909999999999995</v>
      </c>
      <c r="T52" s="12">
        <v>13.6</v>
      </c>
      <c r="U52" s="5">
        <v>637000</v>
      </c>
      <c r="V52" s="4">
        <v>9550</v>
      </c>
      <c r="W52" s="5">
        <f>V52/U52</f>
        <v>1.4992150706436421E-2</v>
      </c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</row>
    <row r="53" spans="1:37" x14ac:dyDescent="0.3">
      <c r="A53">
        <v>11</v>
      </c>
      <c r="B53" t="s">
        <v>17</v>
      </c>
      <c r="C53">
        <v>1</v>
      </c>
      <c r="D53">
        <v>0</v>
      </c>
      <c r="E53" s="2">
        <v>1</v>
      </c>
      <c r="F53" s="9">
        <v>839711</v>
      </c>
      <c r="G53" s="9">
        <v>390306</v>
      </c>
      <c r="H53" s="5">
        <f>G53-F53</f>
        <v>-449405</v>
      </c>
      <c r="I53" s="8">
        <v>-0.53519008325483408</v>
      </c>
      <c r="J53" s="5">
        <v>1.643</v>
      </c>
      <c r="K53" s="5">
        <v>1.58</v>
      </c>
      <c r="L53" s="4">
        <v>480764</v>
      </c>
      <c r="M53" s="8">
        <v>1.8000000000000016E-2</v>
      </c>
      <c r="N53" s="4">
        <v>543089.80000000005</v>
      </c>
      <c r="O53" s="13" t="s">
        <v>303</v>
      </c>
      <c r="P53" s="14" t="s">
        <v>304</v>
      </c>
      <c r="Q53" s="15" t="s">
        <v>305</v>
      </c>
      <c r="R53" s="16" t="s">
        <v>306</v>
      </c>
      <c r="S53" s="17">
        <f>P53-R53</f>
        <v>0.51680000000000004</v>
      </c>
      <c r="T53" s="12">
        <v>13.4</v>
      </c>
      <c r="U53" s="5">
        <v>880000</v>
      </c>
      <c r="V53" s="4">
        <v>13763</v>
      </c>
      <c r="W53" s="5">
        <f>V53/U53</f>
        <v>1.5639772727272728E-2</v>
      </c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</row>
    <row r="54" spans="1:37" x14ac:dyDescent="0.3">
      <c r="A54">
        <v>12</v>
      </c>
      <c r="B54" t="s">
        <v>18</v>
      </c>
      <c r="C54">
        <v>0</v>
      </c>
      <c r="D54">
        <v>0</v>
      </c>
      <c r="E54" s="2">
        <v>0</v>
      </c>
      <c r="F54" s="9">
        <v>5043625</v>
      </c>
      <c r="G54" s="9">
        <v>5691220</v>
      </c>
      <c r="H54" s="5">
        <f>G54-F54</f>
        <v>647595</v>
      </c>
      <c r="I54" s="8">
        <v>0.12839872115789741</v>
      </c>
      <c r="J54" s="5">
        <v>0.36099999999999999</v>
      </c>
      <c r="K54" s="5">
        <v>0.88300000000000001</v>
      </c>
      <c r="L54" s="4">
        <v>117598</v>
      </c>
      <c r="M54" s="8">
        <v>9.8000000000000087E-2</v>
      </c>
      <c r="N54" s="4">
        <v>170089</v>
      </c>
      <c r="O54" s="13" t="s">
        <v>307</v>
      </c>
      <c r="P54" s="14" t="s">
        <v>308</v>
      </c>
      <c r="Q54" s="15" t="s">
        <v>309</v>
      </c>
      <c r="R54" s="16" t="s">
        <v>310</v>
      </c>
      <c r="S54" s="17">
        <f>P54-R54</f>
        <v>0.37890000000000001</v>
      </c>
      <c r="T54" s="12">
        <v>20</v>
      </c>
      <c r="U54" s="5">
        <v>690000</v>
      </c>
      <c r="V54" s="4">
        <v>8117</v>
      </c>
      <c r="W54" s="5">
        <f>V54/U54</f>
        <v>1.1763768115942029E-2</v>
      </c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</row>
    <row r="55" spans="1:37" x14ac:dyDescent="0.3">
      <c r="A55">
        <v>13</v>
      </c>
      <c r="B55" t="s">
        <v>19</v>
      </c>
      <c r="C55">
        <v>0</v>
      </c>
      <c r="D55">
        <v>0</v>
      </c>
      <c r="E55" s="2">
        <v>0</v>
      </c>
      <c r="F55" s="9">
        <v>4670165</v>
      </c>
      <c r="G55" s="9">
        <v>5240440</v>
      </c>
      <c r="H55" s="5">
        <f>G55-F55</f>
        <v>570275</v>
      </c>
      <c r="I55" s="8">
        <v>0.12211024664010806</v>
      </c>
      <c r="J55" s="5">
        <v>0.39200000000000002</v>
      </c>
      <c r="K55" s="5">
        <v>0.86799999999999999</v>
      </c>
      <c r="L55" s="4">
        <v>132474</v>
      </c>
      <c r="M55" s="8">
        <v>2.0999999999999908E-2</v>
      </c>
      <c r="N55" s="4">
        <v>161158.70000000001</v>
      </c>
      <c r="O55" s="13" t="s">
        <v>311</v>
      </c>
      <c r="P55" s="14" t="s">
        <v>312</v>
      </c>
      <c r="Q55" s="15" t="s">
        <v>313</v>
      </c>
      <c r="R55" s="16" t="s">
        <v>314</v>
      </c>
      <c r="S55" s="17">
        <f>P55-R55</f>
        <v>0.79830000000000001</v>
      </c>
      <c r="T55" s="12">
        <v>18</v>
      </c>
      <c r="U55" s="5">
        <v>819000</v>
      </c>
      <c r="V55" s="4">
        <v>10326</v>
      </c>
      <c r="W55" s="5">
        <f>V55/U55</f>
        <v>1.2608058608058609E-2</v>
      </c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</row>
    <row r="56" spans="1:37" x14ac:dyDescent="0.3">
      <c r="A56">
        <v>14</v>
      </c>
      <c r="B56" t="s">
        <v>20</v>
      </c>
      <c r="C56">
        <v>0</v>
      </c>
      <c r="D56">
        <v>1</v>
      </c>
      <c r="E56" s="2">
        <v>1</v>
      </c>
      <c r="F56" s="9">
        <v>44896903</v>
      </c>
      <c r="G56" s="9">
        <v>51357746</v>
      </c>
      <c r="H56" s="5">
        <f>G56-F56</f>
        <v>6460843</v>
      </c>
      <c r="I56" s="8">
        <v>0.14390397930120025</v>
      </c>
      <c r="J56" s="5">
        <v>1.4359999999999999</v>
      </c>
      <c r="K56" s="5">
        <v>4.2729999999999997</v>
      </c>
      <c r="L56" s="4">
        <v>540412</v>
      </c>
      <c r="M56" s="8">
        <v>3.2000000000000028E-2</v>
      </c>
      <c r="N56" s="4">
        <v>565450.4</v>
      </c>
      <c r="O56" s="13" t="s">
        <v>315</v>
      </c>
      <c r="P56" s="14" t="s">
        <v>316</v>
      </c>
      <c r="Q56" s="15" t="s">
        <v>317</v>
      </c>
      <c r="R56" s="16" t="s">
        <v>318</v>
      </c>
      <c r="S56" s="17">
        <f>P56-R56</f>
        <v>0.55069999999999997</v>
      </c>
      <c r="T56" s="12">
        <v>16.7</v>
      </c>
      <c r="U56" s="5">
        <v>956000</v>
      </c>
      <c r="V56" s="4">
        <v>14889</v>
      </c>
      <c r="W56" s="5">
        <f>V56/U56</f>
        <v>1.5574267782426779E-2</v>
      </c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</row>
    <row r="57" spans="1:37" x14ac:dyDescent="0.3">
      <c r="A57">
        <v>15</v>
      </c>
      <c r="B57" t="s">
        <v>21</v>
      </c>
      <c r="C57">
        <v>0</v>
      </c>
      <c r="D57">
        <v>0</v>
      </c>
      <c r="E57" s="2">
        <v>0</v>
      </c>
      <c r="F57" s="9">
        <v>6784248</v>
      </c>
      <c r="G57" s="9">
        <v>8288112</v>
      </c>
      <c r="H57" s="5">
        <f>G57-F57</f>
        <v>1503864</v>
      </c>
      <c r="I57" s="8">
        <v>0.22166996253674687</v>
      </c>
      <c r="J57" s="5">
        <v>0.26400000000000001</v>
      </c>
      <c r="K57" s="5">
        <v>0.83</v>
      </c>
      <c r="L57" s="4">
        <v>99715</v>
      </c>
      <c r="M57" s="8">
        <v>1.6000000000000014E-2</v>
      </c>
      <c r="N57" s="4">
        <v>140924.6</v>
      </c>
      <c r="O57" s="13" t="s">
        <v>319</v>
      </c>
      <c r="P57" s="14" t="s">
        <v>320</v>
      </c>
      <c r="Q57" s="15" t="s">
        <v>321</v>
      </c>
      <c r="R57" s="16" t="s">
        <v>322</v>
      </c>
      <c r="S57" s="17">
        <f>P57-R57</f>
        <v>0.49009999999999998</v>
      </c>
      <c r="T57" s="12">
        <v>10.4</v>
      </c>
      <c r="U57" s="5">
        <v>706000</v>
      </c>
      <c r="V57" s="4">
        <v>8682</v>
      </c>
      <c r="W57" s="5">
        <f>V57/U57</f>
        <v>1.2297450424929178E-2</v>
      </c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</row>
    <row r="58" spans="1:37" x14ac:dyDescent="0.3">
      <c r="A58">
        <v>16</v>
      </c>
      <c r="B58" t="s">
        <v>22</v>
      </c>
      <c r="C58">
        <v>0</v>
      </c>
      <c r="D58">
        <v>0</v>
      </c>
      <c r="E58" s="2">
        <v>0</v>
      </c>
      <c r="F58" s="9"/>
      <c r="G58" s="9"/>
      <c r="H58" s="5"/>
      <c r="J58" s="5">
        <v>0.97</v>
      </c>
      <c r="K58" s="5">
        <v>0.84099999999999997</v>
      </c>
      <c r="L58" s="4">
        <v>1436933</v>
      </c>
      <c r="M58" s="8">
        <v>5.4999999999999938E-2</v>
      </c>
      <c r="N58" s="4">
        <v>376889.2</v>
      </c>
      <c r="O58" s="13" t="s">
        <v>323</v>
      </c>
      <c r="P58" s="14" t="s">
        <v>324</v>
      </c>
      <c r="Q58" s="15" t="s">
        <v>325</v>
      </c>
      <c r="R58" s="16" t="s">
        <v>326</v>
      </c>
      <c r="S58" s="17">
        <f>P58-R58</f>
        <v>0.73039999999999994</v>
      </c>
      <c r="T58" s="12">
        <v>6.5</v>
      </c>
      <c r="U58" s="5">
        <v>3822000</v>
      </c>
      <c r="V58" s="4">
        <v>31232</v>
      </c>
      <c r="W58" s="5">
        <f>V58/U58</f>
        <v>8.1716378859236008E-3</v>
      </c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</row>
    <row r="59" spans="1:37" x14ac:dyDescent="0.3">
      <c r="A59">
        <v>17</v>
      </c>
      <c r="B59" t="s">
        <v>23</v>
      </c>
      <c r="C59">
        <v>0</v>
      </c>
      <c r="D59">
        <v>1</v>
      </c>
      <c r="E59" s="2">
        <v>1</v>
      </c>
      <c r="F59" s="9">
        <v>9958039</v>
      </c>
      <c r="G59" s="9">
        <v>11351612</v>
      </c>
      <c r="H59" s="5">
        <f>G59-F59</f>
        <v>1393573</v>
      </c>
      <c r="I59" s="8">
        <v>0.13994452120542999</v>
      </c>
      <c r="J59" s="5">
        <v>0.33800000000000002</v>
      </c>
      <c r="K59" s="5">
        <v>1.915</v>
      </c>
      <c r="L59" s="4">
        <v>37653</v>
      </c>
      <c r="M59" s="8">
        <v>2.0999999999999908E-2</v>
      </c>
      <c r="N59" s="4">
        <v>121498.9</v>
      </c>
      <c r="O59" s="13" t="s">
        <v>327</v>
      </c>
      <c r="P59" s="14" t="s">
        <v>328</v>
      </c>
      <c r="Q59" s="15" t="s">
        <v>329</v>
      </c>
      <c r="R59" s="16" t="s">
        <v>330</v>
      </c>
      <c r="S59" s="17">
        <f>P59-R59</f>
        <v>0.85680000000000001</v>
      </c>
      <c r="T59" s="12">
        <v>27.9</v>
      </c>
      <c r="U59" s="5">
        <v>310000</v>
      </c>
      <c r="V59" s="4">
        <v>6000</v>
      </c>
      <c r="W59" s="5">
        <f>V59/U59</f>
        <v>1.935483870967742E-2</v>
      </c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</row>
    <row r="60" spans="1:37" x14ac:dyDescent="0.3">
      <c r="A60">
        <v>19</v>
      </c>
      <c r="B60" t="s">
        <v>25</v>
      </c>
      <c r="C60">
        <v>0</v>
      </c>
      <c r="D60">
        <v>0</v>
      </c>
      <c r="E60" s="2">
        <v>0</v>
      </c>
      <c r="F60" s="9">
        <v>1035922</v>
      </c>
      <c r="G60" s="9">
        <v>1147343</v>
      </c>
      <c r="H60" s="5">
        <f>G60-F60</f>
        <v>111421</v>
      </c>
      <c r="I60" s="8">
        <v>0.10755732574460231</v>
      </c>
      <c r="J60" s="5">
        <v>0.65800000000000003</v>
      </c>
      <c r="K60" s="5">
        <v>1.9059999999999999</v>
      </c>
      <c r="L60" s="4">
        <v>130686</v>
      </c>
      <c r="M60" s="8">
        <v>5.4000000000000048E-2</v>
      </c>
      <c r="N60" s="4">
        <v>245382.3</v>
      </c>
      <c r="O60" s="13" t="s">
        <v>331</v>
      </c>
      <c r="P60" s="14" t="s">
        <v>332</v>
      </c>
      <c r="Q60" s="15" t="s">
        <v>333</v>
      </c>
      <c r="R60" s="16" t="s">
        <v>334</v>
      </c>
      <c r="S60" s="17">
        <f>P60-R60</f>
        <v>0.37839999999999996</v>
      </c>
      <c r="T60" s="12">
        <v>16.3</v>
      </c>
      <c r="U60" s="5">
        <v>533000</v>
      </c>
      <c r="V60" s="4">
        <v>8536</v>
      </c>
      <c r="W60" s="5">
        <f>V60/U60</f>
        <v>1.6015009380863039E-2</v>
      </c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</row>
    <row r="61" spans="1:37" x14ac:dyDescent="0.3">
      <c r="A61">
        <v>62</v>
      </c>
      <c r="B61" t="s">
        <v>68</v>
      </c>
      <c r="C61">
        <v>0</v>
      </c>
      <c r="D61">
        <v>0</v>
      </c>
      <c r="E61" s="2">
        <v>0</v>
      </c>
      <c r="F61" s="9">
        <v>8449215</v>
      </c>
      <c r="G61" s="9">
        <v>8246917</v>
      </c>
      <c r="H61" s="5">
        <f>G61-F61</f>
        <v>-202298</v>
      </c>
      <c r="I61" s="8">
        <v>-2.394281598941439E-2</v>
      </c>
      <c r="J61" s="5">
        <v>0.48699999999999999</v>
      </c>
      <c r="K61" s="5">
        <v>0.84099999999999997</v>
      </c>
      <c r="L61" s="4">
        <v>840280</v>
      </c>
      <c r="M61" s="8">
        <v>2.4999999999999911E-2</v>
      </c>
      <c r="N61" s="4">
        <v>197358.8</v>
      </c>
      <c r="O61" s="13" t="s">
        <v>335</v>
      </c>
      <c r="P61" s="14" t="s">
        <v>336</v>
      </c>
      <c r="Q61" s="15" t="s">
        <v>337</v>
      </c>
      <c r="R61" s="16" t="s">
        <v>338</v>
      </c>
      <c r="S61" s="17">
        <f>P61-R61</f>
        <v>0.42600000000000005</v>
      </c>
      <c r="T61" s="12">
        <v>12.9</v>
      </c>
      <c r="U61" s="5">
        <v>4254000</v>
      </c>
      <c r="V61" s="4">
        <v>44009</v>
      </c>
      <c r="W61" s="5">
        <f>V61/U61</f>
        <v>1.0345322049835449E-2</v>
      </c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</row>
    <row r="62" spans="1:37" x14ac:dyDescent="0.3">
      <c r="A62">
        <v>63</v>
      </c>
      <c r="B62" t="s">
        <v>69</v>
      </c>
      <c r="C62">
        <v>0</v>
      </c>
      <c r="D62">
        <v>0</v>
      </c>
      <c r="E62" s="2">
        <v>0</v>
      </c>
      <c r="F62" s="9">
        <v>2069365</v>
      </c>
      <c r="G62" s="9">
        <v>2062811</v>
      </c>
      <c r="H62" s="5">
        <f>G62-F62</f>
        <v>-6554</v>
      </c>
      <c r="I62" s="8">
        <v>-3.1671551417946642E-3</v>
      </c>
      <c r="J62" s="5">
        <v>0.54500000000000004</v>
      </c>
      <c r="K62" s="5">
        <v>0.92100000000000004</v>
      </c>
      <c r="L62" s="4">
        <v>247219</v>
      </c>
      <c r="M62" s="8">
        <v>5.0000000000000044E-2</v>
      </c>
      <c r="N62" s="4">
        <v>215619.20000000001</v>
      </c>
      <c r="O62" s="13" t="s">
        <v>339</v>
      </c>
      <c r="P62" s="14" t="s">
        <v>340</v>
      </c>
      <c r="Q62" s="15" t="s">
        <v>341</v>
      </c>
      <c r="R62" s="16" t="s">
        <v>342</v>
      </c>
      <c r="S62" s="17">
        <f>P62-R62</f>
        <v>0.38320000000000004</v>
      </c>
      <c r="T62" s="12">
        <v>12.5</v>
      </c>
      <c r="U62" s="5">
        <v>1144000</v>
      </c>
      <c r="V62" s="4">
        <v>14757</v>
      </c>
      <c r="W62" s="5">
        <f>V62/U62</f>
        <v>1.2899475524475524E-2</v>
      </c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</row>
    <row r="63" spans="1:37" x14ac:dyDescent="0.3">
      <c r="A63">
        <v>64</v>
      </c>
      <c r="B63" t="s">
        <v>70</v>
      </c>
      <c r="C63">
        <v>1</v>
      </c>
      <c r="D63">
        <v>0</v>
      </c>
      <c r="E63" s="2">
        <v>1</v>
      </c>
      <c r="F63" s="9"/>
      <c r="G63" s="9"/>
      <c r="H63" s="5"/>
      <c r="J63" s="5">
        <v>0.85899999999999999</v>
      </c>
      <c r="K63" s="5">
        <v>0.83599999999999997</v>
      </c>
      <c r="L63" s="4">
        <v>941611</v>
      </c>
      <c r="M63" s="8">
        <v>5.0000000000000044E-2</v>
      </c>
      <c r="N63" s="4">
        <v>293001.2</v>
      </c>
      <c r="O63" s="13" t="s">
        <v>343</v>
      </c>
      <c r="P63" s="14" t="s">
        <v>344</v>
      </c>
      <c r="Q63" s="15" t="s">
        <v>345</v>
      </c>
      <c r="R63" s="16" t="s">
        <v>275</v>
      </c>
      <c r="S63" s="17">
        <f>P63-R63</f>
        <v>0.38009999999999999</v>
      </c>
      <c r="T63" s="12">
        <v>12.3</v>
      </c>
      <c r="U63" s="5">
        <v>3213000</v>
      </c>
      <c r="V63" s="4">
        <v>30078</v>
      </c>
      <c r="W63" s="5">
        <f>V63/U63</f>
        <v>9.3613445378151264E-3</v>
      </c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</row>
    <row r="64" spans="1:37" x14ac:dyDescent="0.3">
      <c r="A64">
        <v>65</v>
      </c>
      <c r="B64" t="s">
        <v>71</v>
      </c>
      <c r="C64">
        <v>0</v>
      </c>
      <c r="D64">
        <v>1</v>
      </c>
      <c r="E64" s="2">
        <v>1</v>
      </c>
      <c r="F64" s="9">
        <v>4863363</v>
      </c>
      <c r="G64" s="9">
        <v>5707206</v>
      </c>
      <c r="H64" s="5">
        <f>G64-F64</f>
        <v>843843</v>
      </c>
      <c r="I64" s="8">
        <v>0.17351018215173331</v>
      </c>
      <c r="J64" s="5">
        <v>0.45300000000000001</v>
      </c>
      <c r="K64" s="5">
        <v>0.78700000000000003</v>
      </c>
      <c r="L64" s="4">
        <v>477352</v>
      </c>
      <c r="M64" s="8">
        <v>5.9000000000000163E-2</v>
      </c>
      <c r="N64" s="4">
        <v>190481.6</v>
      </c>
      <c r="O64" s="13" t="s">
        <v>346</v>
      </c>
      <c r="P64" s="14" t="s">
        <v>347</v>
      </c>
      <c r="Q64" s="15" t="s">
        <v>348</v>
      </c>
      <c r="R64" s="16" t="s">
        <v>349</v>
      </c>
      <c r="S64" s="17">
        <f>P64-R64</f>
        <v>0.55010000000000003</v>
      </c>
      <c r="T64" s="12">
        <v>15.9</v>
      </c>
      <c r="U64" s="5">
        <v>2503000</v>
      </c>
      <c r="V64" s="4">
        <v>24369</v>
      </c>
      <c r="W64" s="5">
        <f>V64/U64</f>
        <v>9.7359168997203354E-3</v>
      </c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</row>
    <row r="65" spans="1:37" x14ac:dyDescent="0.3">
      <c r="A65">
        <v>66</v>
      </c>
      <c r="B65" t="s">
        <v>72</v>
      </c>
      <c r="C65">
        <v>0</v>
      </c>
      <c r="D65">
        <v>1</v>
      </c>
      <c r="E65" s="2">
        <v>1</v>
      </c>
      <c r="F65" s="9"/>
      <c r="G65" s="9"/>
      <c r="H65" s="5"/>
      <c r="J65" s="5">
        <v>3.0339999999999998</v>
      </c>
      <c r="K65" s="5">
        <v>2.1120000000000001</v>
      </c>
      <c r="L65" s="4">
        <v>641603</v>
      </c>
      <c r="M65" s="8">
        <v>-2.5000000000000022E-2</v>
      </c>
      <c r="N65" s="4">
        <v>1297866.6000000001</v>
      </c>
      <c r="O65" s="13" t="s">
        <v>350</v>
      </c>
      <c r="P65" s="14" t="s">
        <v>351</v>
      </c>
      <c r="Q65" s="15" t="s">
        <v>352</v>
      </c>
      <c r="R65" s="16" t="s">
        <v>353</v>
      </c>
      <c r="S65" s="17">
        <f>P65-R65</f>
        <v>0.36269999999999991</v>
      </c>
      <c r="T65" s="12">
        <v>11.8</v>
      </c>
      <c r="U65" s="5">
        <v>494000</v>
      </c>
      <c r="V65" s="4">
        <v>9357</v>
      </c>
      <c r="W65" s="5">
        <f>V65/U65</f>
        <v>1.8941295546558705E-2</v>
      </c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</row>
    <row r="66" spans="1:37" x14ac:dyDescent="0.3">
      <c r="A66">
        <v>67</v>
      </c>
      <c r="B66" t="s">
        <v>73</v>
      </c>
      <c r="C66">
        <v>0</v>
      </c>
      <c r="D66">
        <v>0</v>
      </c>
      <c r="E66" s="2">
        <v>0</v>
      </c>
      <c r="F66" s="9">
        <v>775911</v>
      </c>
      <c r="G66" s="9">
        <v>184384</v>
      </c>
      <c r="H66" s="5">
        <f>G66-F66</f>
        <v>-591527</v>
      </c>
      <c r="I66" s="8">
        <v>-0.76236449799010453</v>
      </c>
      <c r="J66" s="5">
        <v>0.84599999999999997</v>
      </c>
      <c r="K66" s="5">
        <v>0.89700000000000002</v>
      </c>
      <c r="L66" s="4">
        <v>1484447</v>
      </c>
      <c r="M66" s="8">
        <v>7.0999999999999952E-2</v>
      </c>
      <c r="N66" s="4">
        <v>344282.6</v>
      </c>
      <c r="O66" s="13" t="s">
        <v>354</v>
      </c>
      <c r="P66" s="14" t="s">
        <v>355</v>
      </c>
      <c r="Q66" s="15" t="s">
        <v>356</v>
      </c>
      <c r="R66" s="16" t="s">
        <v>357</v>
      </c>
      <c r="S66" s="17">
        <f>P66-R66</f>
        <v>0.52360000000000007</v>
      </c>
      <c r="T66" s="12">
        <v>8.5</v>
      </c>
      <c r="U66" s="5">
        <v>4316000</v>
      </c>
      <c r="V66" s="4">
        <v>37380</v>
      </c>
      <c r="W66" s="5">
        <f>V66/U66</f>
        <v>8.6607970342910106E-3</v>
      </c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</row>
    <row r="67" spans="1:37" x14ac:dyDescent="0.3">
      <c r="A67">
        <v>68</v>
      </c>
      <c r="B67" t="s">
        <v>74</v>
      </c>
      <c r="C67">
        <v>0</v>
      </c>
      <c r="D67">
        <v>1</v>
      </c>
      <c r="E67" s="2">
        <v>1</v>
      </c>
      <c r="F67" s="9">
        <v>2801144</v>
      </c>
      <c r="G67" s="9">
        <v>2108538</v>
      </c>
      <c r="H67" s="5">
        <f>G67-F67</f>
        <v>-692606</v>
      </c>
      <c r="I67" s="8">
        <v>-0.2472582630525243</v>
      </c>
      <c r="J67" s="5">
        <v>0.51700000000000002</v>
      </c>
      <c r="K67" s="5">
        <v>0.93200000000000005</v>
      </c>
      <c r="L67" s="4">
        <v>201311</v>
      </c>
      <c r="M67" s="8">
        <v>4.2000000000000037E-2</v>
      </c>
      <c r="N67" s="4">
        <v>205874.5</v>
      </c>
      <c r="O67" s="13" t="s">
        <v>358</v>
      </c>
      <c r="P67" s="14" t="s">
        <v>359</v>
      </c>
      <c r="Q67" s="15" t="s">
        <v>360</v>
      </c>
      <c r="R67" s="16" t="s">
        <v>361</v>
      </c>
      <c r="S67" s="17">
        <f>P67-R67</f>
        <v>0.33619999999999994</v>
      </c>
      <c r="T67" s="12">
        <v>14.8</v>
      </c>
      <c r="U67" s="5">
        <v>975000</v>
      </c>
      <c r="V67" s="4">
        <v>14796</v>
      </c>
      <c r="W67" s="5">
        <f>V67/U67</f>
        <v>1.5175384615384615E-2</v>
      </c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</row>
    <row r="68" spans="1:37" x14ac:dyDescent="0.3">
      <c r="A68">
        <v>29</v>
      </c>
      <c r="B68" t="s">
        <v>35</v>
      </c>
      <c r="C68">
        <v>0</v>
      </c>
      <c r="D68">
        <v>0</v>
      </c>
      <c r="E68" s="2">
        <v>0</v>
      </c>
      <c r="F68" s="9">
        <v>9691641</v>
      </c>
      <c r="G68" s="9">
        <v>12462905</v>
      </c>
      <c r="H68" s="5">
        <f>G68-F68</f>
        <v>2771264</v>
      </c>
      <c r="I68" s="8">
        <v>0.28594373233593773</v>
      </c>
      <c r="J68" s="5">
        <v>0.44600000000000001</v>
      </c>
      <c r="K68" s="5">
        <v>0.84199999999999997</v>
      </c>
      <c r="L68" s="7">
        <v>430969</v>
      </c>
      <c r="M68" s="8">
        <v>6.0000000000000053E-3</v>
      </c>
      <c r="N68" s="4">
        <v>154529.60000000001</v>
      </c>
      <c r="O68" s="13" t="s">
        <v>362</v>
      </c>
      <c r="P68" s="14" t="s">
        <v>363</v>
      </c>
      <c r="Q68" s="15" t="s">
        <v>364</v>
      </c>
      <c r="R68" s="16" t="s">
        <v>204</v>
      </c>
      <c r="S68" s="17">
        <f>P68-R68</f>
        <v>0.46440000000000003</v>
      </c>
      <c r="T68" s="12">
        <v>13.7</v>
      </c>
      <c r="U68" s="5">
        <v>2791000</v>
      </c>
      <c r="V68" s="4">
        <v>27742</v>
      </c>
      <c r="W68" s="5">
        <f>V68/U68</f>
        <v>9.9398065209602288E-3</v>
      </c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</row>
    <row r="69" spans="1:37" x14ac:dyDescent="0.3">
      <c r="A69">
        <v>69</v>
      </c>
      <c r="B69" t="s">
        <v>75</v>
      </c>
      <c r="C69">
        <v>0</v>
      </c>
      <c r="D69">
        <v>1</v>
      </c>
      <c r="E69" s="2">
        <v>1</v>
      </c>
      <c r="F69" s="9">
        <v>8498612</v>
      </c>
      <c r="G69" s="9">
        <v>9541042</v>
      </c>
      <c r="H69" s="5">
        <f>G69-F69</f>
        <v>1042430</v>
      </c>
      <c r="I69" s="8">
        <v>0.1226588529985837</v>
      </c>
      <c r="J69" s="5">
        <v>0.35699999999999998</v>
      </c>
      <c r="K69" s="5">
        <v>0.89700000000000002</v>
      </c>
      <c r="L69" s="4">
        <v>203267</v>
      </c>
      <c r="M69" s="8">
        <v>8.900000000000019E-2</v>
      </c>
      <c r="N69" s="4">
        <v>188358.6</v>
      </c>
      <c r="O69" s="13" t="s">
        <v>365</v>
      </c>
      <c r="P69" s="14" t="s">
        <v>366</v>
      </c>
      <c r="Q69" s="15" t="s">
        <v>367</v>
      </c>
      <c r="R69" s="16" t="s">
        <v>368</v>
      </c>
      <c r="S69" s="17">
        <f>P69-R69</f>
        <v>0.54380000000000006</v>
      </c>
      <c r="T69" s="12">
        <v>9.4</v>
      </c>
      <c r="U69" s="5">
        <v>1076000</v>
      </c>
      <c r="V69" s="4">
        <v>12526</v>
      </c>
      <c r="W69" s="5">
        <f>V69/U69</f>
        <v>1.1641263940520447E-2</v>
      </c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</row>
    <row r="70" spans="1:37" x14ac:dyDescent="0.3">
      <c r="A70">
        <v>70</v>
      </c>
      <c r="B70" t="s">
        <v>76</v>
      </c>
      <c r="C70">
        <v>0</v>
      </c>
      <c r="D70">
        <v>1</v>
      </c>
      <c r="E70" s="2">
        <v>1</v>
      </c>
      <c r="F70" s="9">
        <v>2143619</v>
      </c>
      <c r="G70" s="9">
        <v>1861377</v>
      </c>
      <c r="H70" s="5">
        <f>G70-F70</f>
        <v>-282242</v>
      </c>
      <c r="I70" s="8">
        <v>-0.13166612163822022</v>
      </c>
      <c r="J70" s="5">
        <v>0.57999999999999996</v>
      </c>
      <c r="K70" s="5">
        <v>0.96</v>
      </c>
      <c r="L70" s="4">
        <v>267639</v>
      </c>
      <c r="M70" s="8">
        <v>0</v>
      </c>
      <c r="N70" s="4">
        <v>200009.7</v>
      </c>
      <c r="O70" s="13" t="s">
        <v>369</v>
      </c>
      <c r="P70" s="14" t="s">
        <v>370</v>
      </c>
      <c r="Q70" s="15" t="s">
        <v>371</v>
      </c>
      <c r="R70" s="16" t="s">
        <v>372</v>
      </c>
      <c r="S70" s="17">
        <f>P70-R70</f>
        <v>0.38310000000000005</v>
      </c>
      <c r="T70" s="12">
        <v>11.4</v>
      </c>
      <c r="U70" s="5">
        <v>1334000</v>
      </c>
      <c r="V70" s="4">
        <v>17999</v>
      </c>
      <c r="W70" s="5">
        <f>V70/U70</f>
        <v>1.3492503748125937E-2</v>
      </c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</row>
    <row r="71" spans="1:37" x14ac:dyDescent="0.3">
      <c r="A71">
        <v>71</v>
      </c>
      <c r="B71" t="s">
        <v>77</v>
      </c>
      <c r="C71">
        <v>0</v>
      </c>
      <c r="D71">
        <v>0</v>
      </c>
      <c r="E71" s="2">
        <v>0</v>
      </c>
      <c r="F71" s="9">
        <v>2041072</v>
      </c>
      <c r="G71" s="9">
        <v>1118520</v>
      </c>
      <c r="H71" s="5">
        <f>G71-F71</f>
        <v>-922552</v>
      </c>
      <c r="I71" s="8">
        <v>-0.45199385420994453</v>
      </c>
      <c r="J71" s="5">
        <v>0.95399999999999996</v>
      </c>
      <c r="K71" s="5">
        <v>1.335</v>
      </c>
      <c r="L71" s="4">
        <v>374172</v>
      </c>
      <c r="M71" s="8">
        <v>3.6000000000000032E-2</v>
      </c>
      <c r="N71" s="4">
        <v>352660.4</v>
      </c>
      <c r="O71" s="13" t="s">
        <v>373</v>
      </c>
      <c r="P71" s="14" t="s">
        <v>374</v>
      </c>
      <c r="Q71" s="15" t="s">
        <v>375</v>
      </c>
      <c r="R71" s="16" t="s">
        <v>136</v>
      </c>
      <c r="S71" s="17">
        <f>P71-R71</f>
        <v>0.38219999999999998</v>
      </c>
      <c r="T71" s="12">
        <v>16.2</v>
      </c>
      <c r="U71" s="5">
        <v>1064000</v>
      </c>
      <c r="V71" s="4">
        <v>13340</v>
      </c>
      <c r="W71" s="5">
        <f>V71/U71</f>
        <v>1.2537593984962406E-2</v>
      </c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</row>
    <row r="72" spans="1:37" x14ac:dyDescent="0.3">
      <c r="A72">
        <v>72</v>
      </c>
      <c r="B72" t="s">
        <v>78</v>
      </c>
      <c r="C72">
        <v>0</v>
      </c>
      <c r="D72">
        <v>1</v>
      </c>
      <c r="E72" s="2">
        <v>1</v>
      </c>
      <c r="F72" s="9">
        <v>1420603</v>
      </c>
      <c r="G72" s="9">
        <v>968813</v>
      </c>
      <c r="H72" s="5">
        <f>G72-F72</f>
        <v>-451790</v>
      </c>
      <c r="I72" s="8">
        <v>-0.31802692237028929</v>
      </c>
      <c r="J72" s="5">
        <v>0.65200000000000002</v>
      </c>
      <c r="K72" s="5">
        <v>0.876</v>
      </c>
      <c r="L72" s="4">
        <v>309295</v>
      </c>
      <c r="M72" s="8">
        <v>2.4999999999999911E-2</v>
      </c>
      <c r="N72" s="4">
        <v>201038</v>
      </c>
      <c r="O72" s="13" t="s">
        <v>376</v>
      </c>
      <c r="P72" s="14" t="s">
        <v>377</v>
      </c>
      <c r="Q72" s="15" t="s">
        <v>378</v>
      </c>
      <c r="R72" s="16" t="s">
        <v>379</v>
      </c>
      <c r="S72" s="17">
        <f>P72-R72</f>
        <v>0.50819999999999999</v>
      </c>
      <c r="T72" s="12">
        <v>9.5</v>
      </c>
      <c r="U72" s="5">
        <v>1532000</v>
      </c>
      <c r="V72" s="4">
        <v>14553</v>
      </c>
      <c r="W72" s="5">
        <f>V72/U72</f>
        <v>9.4993472584856391E-3</v>
      </c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</row>
    <row r="73" spans="1:37" x14ac:dyDescent="0.3">
      <c r="A73">
        <v>73</v>
      </c>
      <c r="B73" t="s">
        <v>79</v>
      </c>
      <c r="C73">
        <v>0</v>
      </c>
      <c r="D73">
        <v>0</v>
      </c>
      <c r="E73" s="2">
        <v>0</v>
      </c>
      <c r="F73" s="9"/>
      <c r="G73" s="9"/>
      <c r="H73" s="5"/>
      <c r="I73" s="8" t="e">
        <v>#DIV/0!</v>
      </c>
      <c r="J73" s="5">
        <v>3.8029999999999999</v>
      </c>
      <c r="K73" s="5">
        <v>1.5149999999999999</v>
      </c>
      <c r="L73" s="4">
        <v>4618711</v>
      </c>
      <c r="M73" s="8">
        <v>-2.0000000000000018E-3</v>
      </c>
      <c r="N73" s="4">
        <v>1325288.3999999999</v>
      </c>
      <c r="O73" s="13" t="s">
        <v>380</v>
      </c>
      <c r="P73" s="14" t="s">
        <v>381</v>
      </c>
      <c r="Q73" s="15" t="s">
        <v>382</v>
      </c>
      <c r="R73" s="16" t="s">
        <v>383</v>
      </c>
      <c r="S73" s="17">
        <f>P73-R73</f>
        <v>0.6169</v>
      </c>
      <c r="T73" s="12">
        <v>11</v>
      </c>
      <c r="U73" s="5">
        <v>3511000</v>
      </c>
      <c r="V73" s="4">
        <v>47770</v>
      </c>
      <c r="W73" s="5">
        <f>V73/U73</f>
        <v>1.3605810310452863E-2</v>
      </c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</row>
    <row r="74" spans="1:37" x14ac:dyDescent="0.3">
      <c r="A74">
        <v>18</v>
      </c>
      <c r="B74" t="s">
        <v>24</v>
      </c>
      <c r="C74">
        <v>0</v>
      </c>
      <c r="D74">
        <v>0</v>
      </c>
      <c r="E74" s="2">
        <v>0</v>
      </c>
      <c r="F74" s="9">
        <v>1518133</v>
      </c>
      <c r="G74" s="9">
        <v>911823</v>
      </c>
      <c r="H74" s="5">
        <f>G74-F74</f>
        <v>-606310</v>
      </c>
      <c r="I74" s="8">
        <v>-0.39937871056093244</v>
      </c>
      <c r="J74" s="5">
        <v>0.67600000000000005</v>
      </c>
      <c r="K74" s="5">
        <v>0.9</v>
      </c>
      <c r="L74" s="4">
        <v>371498</v>
      </c>
      <c r="M74" s="8">
        <v>3.2999999999999918E-2</v>
      </c>
      <c r="N74" s="4">
        <v>244746.2</v>
      </c>
      <c r="O74" s="13" t="s">
        <v>384</v>
      </c>
      <c r="P74" s="14" t="s">
        <v>385</v>
      </c>
      <c r="Q74" s="15" t="s">
        <v>386</v>
      </c>
      <c r="R74" s="16" t="s">
        <v>387</v>
      </c>
      <c r="S74" s="17">
        <f>P74-R74</f>
        <v>0.50929999999999997</v>
      </c>
      <c r="T74" s="12">
        <v>11.1</v>
      </c>
      <c r="U74" s="5">
        <v>1518000</v>
      </c>
      <c r="V74" s="4">
        <v>16895</v>
      </c>
      <c r="W74" s="5">
        <f>V74/U74</f>
        <v>1.1129776021080369E-2</v>
      </c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</row>
    <row r="75" spans="1:37" x14ac:dyDescent="0.3">
      <c r="A75" s="2">
        <v>74</v>
      </c>
      <c r="B75" s="2" t="s">
        <v>80</v>
      </c>
      <c r="C75">
        <v>0</v>
      </c>
      <c r="D75">
        <v>0</v>
      </c>
      <c r="E75" s="2">
        <v>0</v>
      </c>
      <c r="F75" s="9">
        <v>2681408</v>
      </c>
      <c r="G75" s="9">
        <v>2613996</v>
      </c>
      <c r="H75" s="5">
        <f>G75-F75</f>
        <v>-67412</v>
      </c>
      <c r="I75" s="8">
        <v>-2.5140523187817787E-2</v>
      </c>
      <c r="J75" s="5">
        <v>0.45400000000000001</v>
      </c>
      <c r="K75" s="5">
        <v>0.79600000000000004</v>
      </c>
      <c r="L75" s="4">
        <v>244230</v>
      </c>
      <c r="M75" s="8">
        <v>2.4999999999999911E-2</v>
      </c>
      <c r="N75" s="4">
        <v>191059.6</v>
      </c>
      <c r="O75" s="13" t="s">
        <v>388</v>
      </c>
      <c r="P75" s="14" t="s">
        <v>389</v>
      </c>
      <c r="Q75" s="15" t="s">
        <v>390</v>
      </c>
      <c r="R75" s="16" t="s">
        <v>391</v>
      </c>
      <c r="S75" s="17">
        <f>P75-R75</f>
        <v>0.34149999999999997</v>
      </c>
      <c r="T75" s="12">
        <v>13.3</v>
      </c>
      <c r="U75" s="5">
        <v>1274000</v>
      </c>
      <c r="V75" s="4">
        <v>14261</v>
      </c>
      <c r="W75" s="5">
        <f>V75/U75</f>
        <v>1.1193877551020408E-2</v>
      </c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</row>
    <row r="76" spans="1:37" x14ac:dyDescent="0.3">
      <c r="A76" s="8">
        <v>30</v>
      </c>
      <c r="B76" s="8" t="s">
        <v>36</v>
      </c>
      <c r="C76" s="2">
        <v>0</v>
      </c>
      <c r="D76" s="2">
        <v>1</v>
      </c>
      <c r="E76" s="2">
        <v>1</v>
      </c>
      <c r="F76" s="9">
        <v>4577336</v>
      </c>
      <c r="G76" s="9">
        <v>4713546</v>
      </c>
      <c r="H76" s="5">
        <f>G76-F76</f>
        <v>136210</v>
      </c>
      <c r="I76" s="8">
        <v>2.9757483392086614E-2</v>
      </c>
      <c r="J76" s="11">
        <v>0.95699999999999996</v>
      </c>
      <c r="K76" s="11">
        <v>1.611</v>
      </c>
      <c r="L76" s="4">
        <v>434113</v>
      </c>
      <c r="M76" s="8">
        <v>5.0000000000001155E-3</v>
      </c>
      <c r="N76" s="4">
        <v>323415</v>
      </c>
      <c r="O76" s="13" t="s">
        <v>392</v>
      </c>
      <c r="P76" s="14" t="s">
        <v>393</v>
      </c>
      <c r="Q76" s="15" t="s">
        <v>394</v>
      </c>
      <c r="R76" s="16" t="s">
        <v>395</v>
      </c>
      <c r="S76" s="17">
        <f>P76-R76</f>
        <v>0.38500000000000001</v>
      </c>
      <c r="T76" s="12">
        <v>14.3</v>
      </c>
      <c r="U76" s="5">
        <v>1342000</v>
      </c>
      <c r="V76" s="4">
        <v>19949</v>
      </c>
      <c r="W76" s="5">
        <f>V76/U76</f>
        <v>1.4865126676602086E-2</v>
      </c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</row>
    <row r="77" spans="1:37" x14ac:dyDescent="0.3">
      <c r="A77" s="2">
        <v>75</v>
      </c>
      <c r="B77" s="2" t="s">
        <v>81</v>
      </c>
      <c r="C77" s="2">
        <v>0</v>
      </c>
      <c r="D77" s="2">
        <v>0</v>
      </c>
      <c r="E77" s="2">
        <v>0</v>
      </c>
      <c r="F77" s="9">
        <v>2941523</v>
      </c>
      <c r="G77" s="9">
        <v>2125160</v>
      </c>
      <c r="H77" s="5">
        <f>G77-F77</f>
        <v>-816363</v>
      </c>
      <c r="I77" s="8">
        <v>-0.2775307213304129</v>
      </c>
      <c r="J77" s="5">
        <v>0.68</v>
      </c>
      <c r="K77" s="5">
        <v>0.88300000000000001</v>
      </c>
      <c r="L77" s="4">
        <v>843340</v>
      </c>
      <c r="M77" s="8">
        <v>2.4000000000000021E-2</v>
      </c>
      <c r="N77" s="4">
        <v>242150.5</v>
      </c>
      <c r="O77" s="13" t="s">
        <v>396</v>
      </c>
      <c r="P77" s="14" t="s">
        <v>304</v>
      </c>
      <c r="Q77" s="15" t="s">
        <v>397</v>
      </c>
      <c r="R77" s="16" t="s">
        <v>398</v>
      </c>
      <c r="S77" s="17">
        <f>P77-R77</f>
        <v>0.503</v>
      </c>
      <c r="T77" s="12">
        <v>10.1</v>
      </c>
      <c r="U77" s="5">
        <v>3485000</v>
      </c>
      <c r="V77" s="4">
        <v>33149</v>
      </c>
      <c r="W77" s="5">
        <f>V77/U77</f>
        <v>9.511908177905308E-3</v>
      </c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</row>
    <row r="78" spans="1:37" x14ac:dyDescent="0.3">
      <c r="A78" s="8">
        <v>20</v>
      </c>
      <c r="B78" s="8" t="s">
        <v>26</v>
      </c>
      <c r="C78" s="8">
        <v>1</v>
      </c>
      <c r="D78" s="2">
        <v>0</v>
      </c>
      <c r="E78" s="2">
        <v>1</v>
      </c>
      <c r="F78" s="9">
        <v>14507184</v>
      </c>
      <c r="G78" s="9">
        <v>17875779.800000001</v>
      </c>
      <c r="H78" s="5">
        <f>G78-F78</f>
        <v>3368595.8000000007</v>
      </c>
      <c r="I78" s="8">
        <v>0.23220190768932136</v>
      </c>
      <c r="J78" s="5">
        <v>0.19400000000000001</v>
      </c>
      <c r="K78" s="5">
        <v>0.495</v>
      </c>
      <c r="L78" s="4">
        <v>103677</v>
      </c>
      <c r="M78" s="8">
        <v>7.0999999999999952E-2</v>
      </c>
      <c r="N78" s="4">
        <v>78934.2</v>
      </c>
      <c r="O78" s="13" t="s">
        <v>399</v>
      </c>
      <c r="P78" s="14" t="s">
        <v>400</v>
      </c>
      <c r="Q78" s="15" t="s">
        <v>401</v>
      </c>
      <c r="R78" s="16" t="s">
        <v>402</v>
      </c>
      <c r="S78" s="17">
        <f>P78-R78</f>
        <v>0.99730000000000008</v>
      </c>
      <c r="T78" s="12">
        <v>21.7</v>
      </c>
      <c r="U78" s="5">
        <v>1325000</v>
      </c>
      <c r="V78" s="4">
        <v>13273</v>
      </c>
      <c r="W78" s="5">
        <f>V78/U78</f>
        <v>1.0017358490566038E-2</v>
      </c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</row>
    <row r="79" spans="1:37" x14ac:dyDescent="0.3">
      <c r="A79" s="8">
        <v>21</v>
      </c>
      <c r="B79" s="8" t="s">
        <v>27</v>
      </c>
      <c r="C79" s="2">
        <v>0</v>
      </c>
      <c r="D79" s="2">
        <v>1</v>
      </c>
      <c r="E79" s="2">
        <v>1</v>
      </c>
      <c r="F79" s="9">
        <v>5401919</v>
      </c>
      <c r="G79" s="9">
        <v>7037918</v>
      </c>
      <c r="H79" s="5">
        <f>G79-F79</f>
        <v>1635999</v>
      </c>
      <c r="I79" s="8">
        <v>0.30285515203023228</v>
      </c>
      <c r="J79" s="11">
        <v>0.43099999999999999</v>
      </c>
      <c r="K79" s="11">
        <v>0.86599999999999999</v>
      </c>
      <c r="L79" s="4">
        <v>217034</v>
      </c>
      <c r="M79" s="8">
        <v>6.2000000000000055E-2</v>
      </c>
      <c r="N79" s="4">
        <v>174293.5</v>
      </c>
      <c r="O79" s="13" t="s">
        <v>403</v>
      </c>
      <c r="P79" s="14" t="s">
        <v>404</v>
      </c>
      <c r="Q79" s="15" t="s">
        <v>405</v>
      </c>
      <c r="R79" s="16" t="s">
        <v>406</v>
      </c>
      <c r="S79" s="17">
        <f>P79-R79</f>
        <v>0.41739999999999999</v>
      </c>
      <c r="T79" s="12">
        <v>16</v>
      </c>
      <c r="U79" s="5">
        <v>1244000</v>
      </c>
      <c r="V79" s="4">
        <v>11349</v>
      </c>
      <c r="W79" s="5">
        <f>V79/U79</f>
        <v>9.1229903536977491E-3</v>
      </c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</row>
    <row r="80" spans="1:37" x14ac:dyDescent="0.3">
      <c r="A80" s="8">
        <v>82</v>
      </c>
      <c r="B80" s="8" t="s">
        <v>86</v>
      </c>
      <c r="C80" s="2">
        <v>0</v>
      </c>
      <c r="D80" s="2">
        <v>0</v>
      </c>
      <c r="E80" s="2">
        <v>0</v>
      </c>
      <c r="F80" s="9">
        <v>352541</v>
      </c>
      <c r="G80" s="9">
        <v>195620</v>
      </c>
      <c r="H80" s="5">
        <f>G80-F80</f>
        <v>-156921</v>
      </c>
      <c r="I80" s="5">
        <f>G80/F80</f>
        <v>0.55488581469956688</v>
      </c>
      <c r="J80" s="5">
        <v>7.42</v>
      </c>
      <c r="K80" s="5">
        <v>7.1219999999999999</v>
      </c>
      <c r="L80" s="4">
        <v>48852</v>
      </c>
      <c r="M80" s="8">
        <v>-3.0000000000000027E-3</v>
      </c>
      <c r="N80" s="4">
        <v>960056.9</v>
      </c>
      <c r="O80" s="13" t="s">
        <v>407</v>
      </c>
      <c r="P80" s="14" t="s">
        <v>408</v>
      </c>
      <c r="Q80" s="15" t="s">
        <v>409</v>
      </c>
      <c r="R80" s="16" t="s">
        <v>410</v>
      </c>
      <c r="S80" s="17">
        <f>P80-R80</f>
        <v>0.63600000000000001</v>
      </c>
      <c r="T80" s="12">
        <v>7.7</v>
      </c>
      <c r="U80" s="5">
        <v>51000</v>
      </c>
      <c r="V80" s="4">
        <v>2677</v>
      </c>
      <c r="W80" s="5">
        <f>V80/U80</f>
        <v>5.2490196078431375E-2</v>
      </c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</row>
    <row r="81" spans="1:37" x14ac:dyDescent="0.3">
      <c r="A81" s="2">
        <v>76</v>
      </c>
      <c r="B81" s="2" t="s">
        <v>82</v>
      </c>
      <c r="C81" s="2">
        <v>0</v>
      </c>
      <c r="D81" s="2">
        <v>0</v>
      </c>
      <c r="E81" s="2">
        <v>0</v>
      </c>
      <c r="F81" s="9">
        <v>639928</v>
      </c>
      <c r="G81" s="9">
        <v>429249</v>
      </c>
      <c r="H81" s="5">
        <f>G81-F81</f>
        <v>-210679</v>
      </c>
      <c r="I81" s="8">
        <v>-0.329222975084697</v>
      </c>
      <c r="J81" s="5">
        <v>0.73799999999999999</v>
      </c>
      <c r="K81" s="5">
        <v>0.86599999999999999</v>
      </c>
      <c r="L81" s="4">
        <v>324572</v>
      </c>
      <c r="M81" s="8">
        <v>4.6000000000000041E-2</v>
      </c>
      <c r="N81" s="4">
        <v>255297</v>
      </c>
      <c r="O81" s="13" t="s">
        <v>411</v>
      </c>
      <c r="P81" s="14" t="s">
        <v>412</v>
      </c>
      <c r="Q81" s="15" t="s">
        <v>413</v>
      </c>
      <c r="R81" s="16" t="s">
        <v>414</v>
      </c>
      <c r="S81" s="17">
        <f>P81-R81</f>
        <v>0.34640000000000004</v>
      </c>
      <c r="T81" s="12">
        <v>10.9</v>
      </c>
      <c r="U81" s="5">
        <v>1272000</v>
      </c>
      <c r="V81" s="4">
        <v>14504</v>
      </c>
      <c r="W81" s="5">
        <f>V81/U81</f>
        <v>1.140251572327044E-2</v>
      </c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</row>
    <row r="82" spans="1:37" x14ac:dyDescent="0.3">
      <c r="F82" s="5"/>
      <c r="G82" s="5"/>
      <c r="H82" s="5"/>
      <c r="I82" s="5"/>
      <c r="J82" s="5"/>
      <c r="K82" s="5"/>
      <c r="L82" s="5"/>
      <c r="M82" s="5"/>
      <c r="N82" s="5"/>
      <c r="O82" s="5"/>
      <c r="P82" s="10"/>
      <c r="Q82" s="5"/>
      <c r="R82" s="10"/>
      <c r="S82" s="10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</row>
    <row r="83" spans="1:37" x14ac:dyDescent="0.3">
      <c r="P83" s="1"/>
      <c r="R83" s="1"/>
      <c r="S83" s="1"/>
    </row>
    <row r="84" spans="1:37" x14ac:dyDescent="0.3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O84" s="2"/>
      <c r="P84" s="3"/>
      <c r="Q84" s="2"/>
      <c r="R84" s="3"/>
      <c r="S84" s="3"/>
    </row>
    <row r="85" spans="1:37" x14ac:dyDescent="0.3">
      <c r="O85" s="1"/>
    </row>
  </sheetData>
  <sortState ref="A2:W81">
    <sortCondition ref="B2:B8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</dc:creator>
  <cp:lastModifiedBy>Michael</cp:lastModifiedBy>
  <dcterms:created xsi:type="dcterms:W3CDTF">2016-01-04T15:41:30Z</dcterms:created>
  <dcterms:modified xsi:type="dcterms:W3CDTF">2016-01-12T00:42:49Z</dcterms:modified>
</cp:coreProperties>
</file>